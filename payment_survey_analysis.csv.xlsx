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PA\Downloads\"/>
    </mc:Choice>
  </mc:AlternateContent>
  <bookViews>
    <workbookView xWindow="0" yWindow="0" windowWidth="16815" windowHeight="7020" activeTab="3"/>
  </bookViews>
  <sheets>
    <sheet name="Payment_Survey_Analysis" sheetId="1" r:id="rId1"/>
    <sheet name="Clean_data" sheetId="2" r:id="rId2"/>
    <sheet name="Calculation" sheetId="3" r:id="rId3"/>
    <sheet name="Analysis" sheetId="4" r:id="rId4"/>
  </sheets>
  <calcPr calcId="162913"/>
  <pivotCaches>
    <pivotCache cacheId="0" r:id="rId5"/>
    <pivotCache cacheId="1" r:id="rId6"/>
  </pivotCaches>
  <fileRecoveryPr repairLoad="1"/>
</workbook>
</file>

<file path=xl/calcChain.xml><?xml version="1.0" encoding="utf-8"?>
<calcChain xmlns="http://schemas.openxmlformats.org/spreadsheetml/2006/main">
  <c r="D21" i="3" l="1"/>
  <c r="C21" i="3"/>
  <c r="B21" i="3"/>
  <c r="A21" i="3"/>
  <c r="D20" i="3"/>
  <c r="C20" i="3"/>
  <c r="B20" i="3"/>
  <c r="A20" i="3"/>
  <c r="D19" i="3"/>
  <c r="C19" i="3"/>
  <c r="B19" i="3"/>
  <c r="A19" i="3"/>
  <c r="D18" i="3"/>
  <c r="C18" i="3"/>
  <c r="B18" i="3"/>
  <c r="A18" i="3"/>
  <c r="D17" i="3"/>
  <c r="C17" i="3"/>
  <c r="B17" i="3"/>
  <c r="A17" i="3"/>
  <c r="D16" i="3"/>
  <c r="C16" i="3"/>
  <c r="B16" i="3"/>
  <c r="A16" i="3"/>
  <c r="D15" i="3"/>
  <c r="C15" i="3"/>
  <c r="B15" i="3"/>
  <c r="A15" i="3"/>
  <c r="D14" i="3"/>
  <c r="C14" i="3"/>
  <c r="B14" i="3"/>
  <c r="A14" i="3"/>
  <c r="D13" i="3"/>
  <c r="C13" i="3"/>
  <c r="B13" i="3"/>
  <c r="A13" i="3"/>
  <c r="D12" i="3"/>
  <c r="C12" i="3"/>
  <c r="B12" i="3"/>
  <c r="A12" i="3"/>
  <c r="D11" i="3"/>
  <c r="C11" i="3"/>
  <c r="B11" i="3"/>
  <c r="A11" i="3"/>
  <c r="D10" i="3"/>
  <c r="C10" i="3"/>
  <c r="B10" i="3"/>
  <c r="A10" i="3"/>
  <c r="D9" i="3"/>
  <c r="C9" i="3"/>
  <c r="B9" i="3"/>
  <c r="A9" i="3"/>
  <c r="D8" i="3"/>
  <c r="C8" i="3"/>
  <c r="B8" i="3"/>
  <c r="A8" i="3"/>
  <c r="D7" i="3"/>
  <c r="C7" i="3"/>
  <c r="B7" i="3"/>
  <c r="A7" i="3"/>
  <c r="D6" i="3"/>
  <c r="C6" i="3"/>
  <c r="B6" i="3"/>
  <c r="A6" i="3"/>
  <c r="D5" i="3"/>
  <c r="C5" i="3"/>
  <c r="B5" i="3"/>
  <c r="A5" i="3"/>
  <c r="D4" i="3"/>
  <c r="C4" i="3"/>
  <c r="B4" i="3"/>
  <c r="A4" i="3"/>
  <c r="D3" i="3"/>
  <c r="C3" i="3"/>
  <c r="B3" i="3"/>
  <c r="A3" i="3"/>
  <c r="D2" i="3"/>
  <c r="C2" i="3"/>
  <c r="B2" i="3"/>
  <c r="A2" i="3"/>
</calcChain>
</file>

<file path=xl/sharedStrings.xml><?xml version="1.0" encoding="utf-8"?>
<sst xmlns="http://schemas.openxmlformats.org/spreadsheetml/2006/main" count="364" uniqueCount="89">
  <si>
    <t>Respondent_ID</t>
  </si>
  <si>
    <t>age</t>
  </si>
  <si>
    <t>gender</t>
  </si>
  <si>
    <t>location</t>
  </si>
  <si>
    <t>income_level</t>
  </si>
  <si>
    <t>tech_proficiency</t>
  </si>
  <si>
    <t>employment_status</t>
  </si>
  <si>
    <t>experience_id</t>
  </si>
  <si>
    <t>respondent_id</t>
  </si>
  <si>
    <t>received_money_abroad</t>
  </si>
  <si>
    <t>primary_payment_method</t>
  </si>
  <si>
    <t>avg_transaction_time_hours</t>
  </si>
  <si>
    <t>monthly_transaction_frequency</t>
  </si>
  <si>
    <t>avg_amount_received_naira</t>
  </si>
  <si>
    <t>satisfaction_rating</t>
  </si>
  <si>
    <t>pain_id</t>
  </si>
  <si>
    <t>high_fees</t>
  </si>
  <si>
    <t>transaction_delays</t>
  </si>
  <si>
    <t>poor_customer_support</t>
  </si>
  <si>
    <t>complicated_interface</t>
  </si>
  <si>
    <t>security_concerns</t>
  </si>
  <si>
    <t>limited_payment_options</t>
  </si>
  <si>
    <t>currency_conversion_issues</t>
  </si>
  <si>
    <t>preference_id</t>
  </si>
  <si>
    <t>instant_cashout_priority</t>
  </si>
  <si>
    <t>low_fees_priority</t>
  </si>
  <si>
    <t>easy_international_priority</t>
  </si>
  <si>
    <t>budget_tracking_priority</t>
  </si>
  <si>
    <t>dual_wallet_priority</t>
  </si>
  <si>
    <t>referral_rewards_priority</t>
  </si>
  <si>
    <t>security_features_priority</t>
  </si>
  <si>
    <t>customer_support_priority</t>
  </si>
  <si>
    <t>willing_to_try_new_app</t>
  </si>
  <si>
    <t>prefers_mobile_app</t>
  </si>
  <si>
    <t>interested_in_beta_testing</t>
  </si>
  <si>
    <t>male</t>
  </si>
  <si>
    <t>abuja</t>
  </si>
  <si>
    <t>below-100k</t>
  </si>
  <si>
    <t>Beginner</t>
  </si>
  <si>
    <t>student</t>
  </si>
  <si>
    <t>NULL</t>
  </si>
  <si>
    <t>Bank Transfer</t>
  </si>
  <si>
    <t>female</t>
  </si>
  <si>
    <t>Lagos</t>
  </si>
  <si>
    <t>100k-300k</t>
  </si>
  <si>
    <t>Intermediate</t>
  </si>
  <si>
    <t>Employed</t>
  </si>
  <si>
    <t>Western Union</t>
  </si>
  <si>
    <t>Kano</t>
  </si>
  <si>
    <t>300k-500k</t>
  </si>
  <si>
    <t>Advanced</t>
  </si>
  <si>
    <t>'Self-employed</t>
  </si>
  <si>
    <t>MoneyGram</t>
  </si>
  <si>
    <t>Wise</t>
  </si>
  <si>
    <t>Remitly</t>
  </si>
  <si>
    <t>portharcourt</t>
  </si>
  <si>
    <t>below_300k</t>
  </si>
  <si>
    <t>Beginne</t>
  </si>
  <si>
    <t>Student</t>
  </si>
  <si>
    <t>Crypto</t>
  </si>
  <si>
    <t>Mobile Money</t>
  </si>
  <si>
    <t>kano</t>
  </si>
  <si>
    <t>lagoes</t>
  </si>
  <si>
    <t>above-500k</t>
  </si>
  <si>
    <t>self-Employed</t>
  </si>
  <si>
    <t>porthartcourt</t>
  </si>
  <si>
    <t>bignners</t>
  </si>
  <si>
    <t>bignner</t>
  </si>
  <si>
    <t>self-employed</t>
  </si>
  <si>
    <t>intermident</t>
  </si>
  <si>
    <t>Self-employed</t>
  </si>
  <si>
    <t>lagos</t>
  </si>
  <si>
    <t>Begnner</t>
  </si>
  <si>
    <t>AGE GROUP</t>
  </si>
  <si>
    <t xml:space="preserve"> SATISFACTION RATING</t>
  </si>
  <si>
    <t>TRUST SCORE</t>
  </si>
  <si>
    <t>PROBLEM COUNT PER RESPONDENT</t>
  </si>
  <si>
    <t>Row Labels</t>
  </si>
  <si>
    <t>Sum of instant_cashout_priority</t>
  </si>
  <si>
    <t>Sum of budget_tracking_priority</t>
  </si>
  <si>
    <t>Sum of low_fees_priority</t>
  </si>
  <si>
    <t>Sum of dual_wallet_priority</t>
  </si>
  <si>
    <t>Sum of referral_rewards_priority</t>
  </si>
  <si>
    <t>Sum of security_features_priority</t>
  </si>
  <si>
    <t>Sum of easy_international_priority</t>
  </si>
  <si>
    <t>ADULT</t>
  </si>
  <si>
    <t>YOUTH</t>
  </si>
  <si>
    <t>Grand Total</t>
  </si>
  <si>
    <t>Count of satisfaction_rating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</si>
</sst>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PA-ICT" refreshedDate="46242.675545949067" createdVersion="6" refreshedVersion="6" minRefreshableVersion="3" recordCount="21">
  <cacheSource type="worksheet">
    <worksheetSource ref="A2:AE1048576" sheet="Clean_data"/>
  </cacheSource>
  <cacheFields count="31">
    <cacheField name="Respondent_ID" numFmtId="0">
      <sharedItems containsString="0" containsBlank="1" containsNumber="1" containsInteger="1" minValue="1" maxValue="20"/>
    </cacheField>
    <cacheField name="age" numFmtId="0">
      <sharedItems containsString="0" containsBlank="1" containsNumber="1" containsInteger="1" minValue="18" maxValue="62" count="15">
        <n v="18"/>
        <n v="20"/>
        <n v="40"/>
        <n v="24"/>
        <n v="35"/>
        <n v="50"/>
        <n v="60"/>
        <n v="25"/>
        <n v="19"/>
        <n v="34"/>
        <n v="54"/>
        <n v="62"/>
        <n v="22"/>
        <n v="28"/>
        <m/>
      </sharedItems>
    </cacheField>
    <cacheField name="gender" numFmtId="0">
      <sharedItems containsBlank="1"/>
    </cacheField>
    <cacheField name="location" numFmtId="0">
      <sharedItems containsBlank="1"/>
    </cacheField>
    <cacheField name="income_level" numFmtId="0">
      <sharedItems containsBlank="1"/>
    </cacheField>
    <cacheField name="tech_proficiency" numFmtId="0">
      <sharedItems containsBlank="1"/>
    </cacheField>
    <cacheField name="employment_status" numFmtId="0">
      <sharedItems containsBlank="1"/>
    </cacheField>
    <cacheField name="received_money_abroad" numFmtId="0">
      <sharedItems containsString="0" containsBlank="1" containsNumber="1" containsInteger="1" minValue="0" maxValue="1"/>
    </cacheField>
    <cacheField name="primary_payment_method" numFmtId="0">
      <sharedItems containsBlank="1" count="8">
        <s v="Bank Transfer"/>
        <s v="Western Union"/>
        <s v="MoneyGram"/>
        <s v="Wise"/>
        <s v="Remitly"/>
        <s v="Crypto"/>
        <s v="Mobile Money"/>
        <m/>
      </sharedItems>
    </cacheField>
    <cacheField name="avg_transaction_time_hours" numFmtId="0">
      <sharedItems containsString="0" containsBlank="1" containsNumber="1" containsInteger="1" minValue="55" maxValue="656"/>
    </cacheField>
    <cacheField name="monthly_transaction_frequency" numFmtId="0">
      <sharedItems containsString="0" containsBlank="1" containsNumber="1" containsInteger="1" minValue="3" maxValue="20"/>
    </cacheField>
    <cacheField name="avg_amount_received_naira" numFmtId="0">
      <sharedItems containsString="0" containsBlank="1" containsNumber="1" containsInteger="1" minValue="5000" maxValue="500000"/>
    </cacheField>
    <cacheField name="satisfaction_rating" numFmtId="0">
      <sharedItems containsString="0" containsBlank="1" containsNumber="1" containsInteger="1" minValue="1" maxValue="10"/>
    </cacheField>
    <cacheField name="high_fees" numFmtId="0">
      <sharedItems containsString="0" containsBlank="1" containsNumber="1" containsInteger="1" minValue="0" maxValue="1"/>
    </cacheField>
    <cacheField name="transaction_delays" numFmtId="0">
      <sharedItems containsString="0" containsBlank="1" containsNumber="1" containsInteger="1" minValue="0" maxValue="1"/>
    </cacheField>
    <cacheField name="poor_customer_support" numFmtId="0">
      <sharedItems containsString="0" containsBlank="1" containsNumber="1" containsInteger="1" minValue="0" maxValue="1"/>
    </cacheField>
    <cacheField name="complicated_interface" numFmtId="0">
      <sharedItems containsString="0" containsBlank="1" containsNumber="1" containsInteger="1" minValue="0" maxValue="1"/>
    </cacheField>
    <cacheField name="security_concerns" numFmtId="0">
      <sharedItems containsString="0" containsBlank="1" containsNumber="1" containsInteger="1" minValue="0" maxValue="1"/>
    </cacheField>
    <cacheField name="limited_payment_options" numFmtId="0">
      <sharedItems containsString="0" containsBlank="1" containsNumber="1" containsInteger="1" minValue="0" maxValue="1"/>
    </cacheField>
    <cacheField name="currency_conversion_issues" numFmtId="0">
      <sharedItems containsString="0" containsBlank="1" containsNumber="1" containsInteger="1" minValue="0" maxValue="1"/>
    </cacheField>
    <cacheField name="instant_cashout_priority" numFmtId="0">
      <sharedItems containsString="0" containsBlank="1" containsNumber="1" containsInteger="1" minValue="1" maxValue="8"/>
    </cacheField>
    <cacheField name="low_fees_priority" numFmtId="0">
      <sharedItems containsString="0" containsBlank="1" containsNumber="1" containsInteger="1" minValue="1" maxValue="8" count="6">
        <n v="2"/>
        <n v="1"/>
        <n v="8"/>
        <n v="3"/>
        <n v="5"/>
        <m/>
      </sharedItems>
    </cacheField>
    <cacheField name="easy_international_priority" numFmtId="0">
      <sharedItems containsString="0" containsBlank="1" containsNumber="1" containsInteger="1" minValue="1" maxValue="8" count="8">
        <n v="3"/>
        <n v="2"/>
        <n v="5"/>
        <n v="6"/>
        <n v="7"/>
        <n v="1"/>
        <n v="8"/>
        <m/>
      </sharedItems>
    </cacheField>
    <cacheField name="budget_tracking_priority" numFmtId="0">
      <sharedItems containsString="0" containsBlank="1" containsNumber="1" containsInteger="1" minValue="2" maxValue="7" count="6">
        <n v="4"/>
        <n v="6"/>
        <n v="2"/>
        <n v="7"/>
        <n v="5"/>
        <m/>
      </sharedItems>
    </cacheField>
    <cacheField name="dual_wallet_priority" numFmtId="0">
      <sharedItems containsString="0" containsBlank="1" containsNumber="1" containsInteger="1" minValue="1" maxValue="8"/>
    </cacheField>
    <cacheField name="referral_rewards_priority" numFmtId="0">
      <sharedItems containsString="0" containsBlank="1" containsNumber="1" containsInteger="1" minValue="3" maxValue="8"/>
    </cacheField>
    <cacheField name="security_features_priority" numFmtId="0">
      <sharedItems containsString="0" containsBlank="1" containsNumber="1" containsInteger="1" minValue="2" maxValue="8"/>
    </cacheField>
    <cacheField name="customer_support_priority" numFmtId="0">
      <sharedItems containsString="0" containsBlank="1" containsNumber="1" containsInteger="1" minValue="4" maxValue="8"/>
    </cacheField>
    <cacheField name="willing_to_try_new_app" numFmtId="0">
      <sharedItems containsString="0" containsBlank="1" containsNumber="1" containsInteger="1" minValue="0" maxValue="1"/>
    </cacheField>
    <cacheField name="prefers_mobile_app" numFmtId="0">
      <sharedItems containsString="0" containsBlank="1" containsNumber="1" containsInteger="1" minValue="0" maxValue="1"/>
    </cacheField>
    <cacheField name="interested_in_beta_testing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TPA-ICT" refreshedDate="46242.708367824067" createdVersion="6" refreshedVersion="6" minRefreshableVersion="3" recordCount="22">
  <cacheSource type="worksheet">
    <worksheetSource ref="A1:K1048576" sheet="Calculation"/>
  </cacheSource>
  <cacheFields count="11">
    <cacheField name="AGE GROUP" numFmtId="0">
      <sharedItems containsBlank="1" count="3">
        <s v="YOUTH"/>
        <s v="ADULT"/>
        <m/>
      </sharedItems>
    </cacheField>
    <cacheField name=" SATISFACTION RATING" numFmtId="0">
      <sharedItems containsBlank="1"/>
    </cacheField>
    <cacheField name="TRUST SCORE" numFmtId="0">
      <sharedItems containsString="0" containsBlank="1" containsNumber="1" containsInteger="1" minValue="0" maxValue="3"/>
    </cacheField>
    <cacheField name="PROBLEM COUNT PER RESPONDENT" numFmtId="0">
      <sharedItems containsString="0" containsBlank="1" containsNumber="1" containsInteger="1" minValue="2" maxValue="7"/>
    </cacheField>
    <cacheField name="instant_cashout_priority" numFmtId="0">
      <sharedItems containsString="0" containsBlank="1" containsNumber="1" containsInteger="1" minValue="1" maxValue="8"/>
    </cacheField>
    <cacheField name="low_fees_priority" numFmtId="0">
      <sharedItems containsString="0" containsBlank="1" containsNumber="1" containsInteger="1" minValue="1" maxValue="8"/>
    </cacheField>
    <cacheField name="easy_international_priority" numFmtId="0">
      <sharedItems containsString="0" containsBlank="1" containsNumber="1" containsInteger="1" minValue="1" maxValue="8"/>
    </cacheField>
    <cacheField name="budget_tracking_priority" numFmtId="0">
      <sharedItems containsString="0" containsBlank="1" containsNumber="1" containsInteger="1" minValue="2" maxValue="7"/>
    </cacheField>
    <cacheField name="dual_wallet_priority" numFmtId="0">
      <sharedItems containsString="0" containsBlank="1" containsNumber="1" containsInteger="1" minValue="1" maxValue="8"/>
    </cacheField>
    <cacheField name="referral_rewards_priority" numFmtId="0">
      <sharedItems containsString="0" containsBlank="1" containsNumber="1" containsInteger="1" minValue="3" maxValue="8"/>
    </cacheField>
    <cacheField name="security_features_priority" numFmtId="0">
      <sharedItems containsString="0" containsBlank="1" containsNumber="1" containsInteger="1" minValue="2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">
  <r>
    <n v="1"/>
    <x v="0"/>
    <s v="male"/>
    <s v="abuja"/>
    <s v="below-100k"/>
    <s v="Beginner"/>
    <s v="student"/>
    <n v="1"/>
    <x v="0"/>
    <n v="55"/>
    <n v="20"/>
    <n v="50000"/>
    <n v="1"/>
    <n v="1"/>
    <n v="1"/>
    <n v="1"/>
    <n v="1"/>
    <n v="1"/>
    <n v="1"/>
    <n v="1"/>
    <n v="1"/>
    <x v="0"/>
    <x v="0"/>
    <x v="0"/>
    <n v="5"/>
    <n v="6"/>
    <n v="7"/>
    <n v="8"/>
    <n v="1"/>
    <n v="0"/>
    <n v="1"/>
  </r>
  <r>
    <n v="2"/>
    <x v="1"/>
    <s v="female"/>
    <s v="Lagos"/>
    <s v="100k-300k"/>
    <s v="Intermediate"/>
    <s v="Employed"/>
    <n v="1"/>
    <x v="1"/>
    <n v="180"/>
    <n v="6"/>
    <n v="5000"/>
    <n v="8"/>
    <n v="0"/>
    <n v="1"/>
    <n v="0"/>
    <n v="1"/>
    <n v="1"/>
    <n v="0"/>
    <n v="0"/>
    <n v="2"/>
    <x v="1"/>
    <x v="1"/>
    <x v="1"/>
    <n v="1"/>
    <n v="7"/>
    <n v="7"/>
    <n v="7"/>
    <n v="1"/>
    <n v="1"/>
    <n v="1"/>
  </r>
  <r>
    <n v="3"/>
    <x v="2"/>
    <s v="female"/>
    <s v="Kano"/>
    <s v="300k-500k"/>
    <s v="Advanced"/>
    <s v="Self-employed"/>
    <n v="0"/>
    <x v="2"/>
    <n v="111"/>
    <n v="10"/>
    <n v="10000"/>
    <n v="7"/>
    <n v="0"/>
    <n v="1"/>
    <n v="0"/>
    <n v="1"/>
    <n v="0"/>
    <n v="1"/>
    <n v="1"/>
    <n v="8"/>
    <x v="0"/>
    <x v="2"/>
    <x v="2"/>
    <n v="8"/>
    <n v="4"/>
    <n v="7"/>
    <n v="6"/>
    <n v="1"/>
    <n v="0"/>
    <n v="0"/>
  </r>
  <r>
    <n v="4"/>
    <x v="3"/>
    <s v="female"/>
    <s v="abuja"/>
    <s v="300k-500k"/>
    <s v="Advanced"/>
    <s v="Employed"/>
    <n v="1"/>
    <x v="0"/>
    <n v="55"/>
    <n v="10"/>
    <n v="500000"/>
    <n v="9"/>
    <n v="0"/>
    <n v="0"/>
    <n v="1"/>
    <n v="0"/>
    <n v="1"/>
    <n v="1"/>
    <n v="0"/>
    <n v="2"/>
    <x v="0"/>
    <x v="3"/>
    <x v="0"/>
    <n v="5"/>
    <n v="6"/>
    <n v="5"/>
    <n v="8"/>
    <n v="0"/>
    <n v="0"/>
    <n v="1"/>
  </r>
  <r>
    <n v="5"/>
    <x v="4"/>
    <s v="female"/>
    <s v="Lagos"/>
    <s v="100k-300k"/>
    <s v="Intermediate"/>
    <s v="Employed"/>
    <n v="0"/>
    <x v="3"/>
    <n v="515"/>
    <n v="12"/>
    <n v="60000"/>
    <n v="4"/>
    <n v="1"/>
    <n v="1"/>
    <n v="0"/>
    <n v="1"/>
    <n v="1"/>
    <n v="1"/>
    <n v="1"/>
    <n v="7"/>
    <x v="0"/>
    <x v="0"/>
    <x v="0"/>
    <n v="5"/>
    <n v="8"/>
    <n v="2"/>
    <n v="4"/>
    <n v="0"/>
    <n v="1"/>
    <n v="1"/>
  </r>
  <r>
    <n v="6"/>
    <x v="5"/>
    <s v="female"/>
    <s v="abuja"/>
    <s v="100k-300k"/>
    <s v="Intermediate"/>
    <s v="Employed"/>
    <n v="1"/>
    <x v="4"/>
    <n v="155"/>
    <n v="20"/>
    <n v="90000"/>
    <n v="6"/>
    <n v="0"/>
    <n v="1"/>
    <n v="0"/>
    <n v="1"/>
    <n v="1"/>
    <n v="0"/>
    <n v="0"/>
    <n v="1"/>
    <x v="0"/>
    <x v="1"/>
    <x v="3"/>
    <n v="5"/>
    <n v="4"/>
    <n v="6"/>
    <n v="7"/>
    <n v="0"/>
    <n v="0"/>
    <n v="0"/>
  </r>
  <r>
    <n v="7"/>
    <x v="6"/>
    <s v="male"/>
    <s v="portharcourt"/>
    <s v="below_300k"/>
    <s v="Beginner"/>
    <s v="student"/>
    <n v="0"/>
    <x v="5"/>
    <n v="552"/>
    <n v="20"/>
    <n v="10000"/>
    <n v="10"/>
    <n v="0"/>
    <n v="1"/>
    <n v="0"/>
    <n v="1"/>
    <n v="1"/>
    <n v="0"/>
    <n v="1"/>
    <n v="6"/>
    <x v="0"/>
    <x v="0"/>
    <x v="3"/>
    <n v="5"/>
    <n v="6"/>
    <n v="7"/>
    <n v="4"/>
    <n v="1"/>
    <n v="1"/>
    <n v="1"/>
  </r>
  <r>
    <n v="8"/>
    <x v="7"/>
    <s v="male"/>
    <s v="Lagos"/>
    <s v="100k-300k"/>
    <s v="Intermediate"/>
    <s v="Employed"/>
    <n v="1"/>
    <x v="6"/>
    <n v="655"/>
    <n v="3"/>
    <n v="7000"/>
    <n v="2"/>
    <n v="0"/>
    <n v="0"/>
    <n v="1"/>
    <n v="1"/>
    <n v="0"/>
    <n v="0"/>
    <n v="0"/>
    <n v="1"/>
    <x v="0"/>
    <x v="4"/>
    <x v="4"/>
    <n v="5"/>
    <n v="6"/>
    <n v="7"/>
    <n v="6"/>
    <n v="1"/>
    <n v="0"/>
    <n v="0"/>
  </r>
  <r>
    <n v="9"/>
    <x v="8"/>
    <s v="male"/>
    <s v="Kano"/>
    <s v="below-100k"/>
    <s v="Beginner"/>
    <s v="student"/>
    <n v="1"/>
    <x v="0"/>
    <n v="65"/>
    <n v="17"/>
    <n v="8000"/>
    <n v="7"/>
    <n v="1"/>
    <n v="0"/>
    <n v="0"/>
    <n v="1"/>
    <n v="0"/>
    <n v="0"/>
    <n v="1"/>
    <n v="8"/>
    <x v="2"/>
    <x v="0"/>
    <x v="0"/>
    <n v="5"/>
    <n v="7"/>
    <n v="7"/>
    <n v="8"/>
    <n v="0"/>
    <n v="0"/>
    <n v="0"/>
  </r>
  <r>
    <n v="10"/>
    <x v="9"/>
    <s v="female"/>
    <s v="Lagos"/>
    <s v="above-500k"/>
    <s v="Advanced"/>
    <s v="Self-employed"/>
    <n v="0"/>
    <x v="4"/>
    <n v="545"/>
    <n v="12"/>
    <n v="90000"/>
    <n v="1"/>
    <n v="0"/>
    <n v="1"/>
    <n v="0"/>
    <n v="1"/>
    <n v="0"/>
    <n v="0"/>
    <n v="0"/>
    <n v="1"/>
    <x v="0"/>
    <x v="0"/>
    <x v="0"/>
    <n v="5"/>
    <n v="6"/>
    <n v="7"/>
    <n v="8"/>
    <n v="1"/>
    <n v="0"/>
    <n v="1"/>
  </r>
  <r>
    <n v="11"/>
    <x v="10"/>
    <s v="male"/>
    <s v="abuja"/>
    <s v="below-100k"/>
    <s v="Beginner"/>
    <s v="student"/>
    <n v="0"/>
    <x v="5"/>
    <n v="88"/>
    <n v="20"/>
    <n v="40000"/>
    <n v="4"/>
    <n v="1"/>
    <n v="1"/>
    <n v="1"/>
    <n v="1"/>
    <n v="1"/>
    <n v="1"/>
    <n v="1"/>
    <n v="1"/>
    <x v="0"/>
    <x v="0"/>
    <x v="0"/>
    <n v="5"/>
    <n v="6"/>
    <n v="7"/>
    <n v="8"/>
    <n v="1"/>
    <n v="0"/>
    <n v="1"/>
  </r>
  <r>
    <n v="12"/>
    <x v="1"/>
    <s v="female"/>
    <s v="Lagos"/>
    <s v="100k-300k"/>
    <s v="Intermediate"/>
    <s v="Employed"/>
    <n v="1"/>
    <x v="6"/>
    <n v="115"/>
    <n v="20"/>
    <n v="500000"/>
    <n v="1"/>
    <n v="1"/>
    <n v="0"/>
    <n v="1"/>
    <n v="0"/>
    <n v="0"/>
    <n v="1"/>
    <n v="0"/>
    <n v="4"/>
    <x v="0"/>
    <x v="2"/>
    <x v="0"/>
    <n v="5"/>
    <n v="8"/>
    <n v="7"/>
    <n v="8"/>
    <n v="1"/>
    <n v="0"/>
    <n v="1"/>
  </r>
  <r>
    <n v="13"/>
    <x v="2"/>
    <s v="female"/>
    <s v="Kano"/>
    <s v="above-500k"/>
    <s v="Advanced"/>
    <s v="Self-employed"/>
    <n v="1"/>
    <x v="0"/>
    <n v="55"/>
    <n v="20"/>
    <n v="50000"/>
    <n v="1"/>
    <n v="0"/>
    <n v="1"/>
    <n v="0"/>
    <n v="1"/>
    <n v="1"/>
    <n v="0"/>
    <n v="1"/>
    <n v="3"/>
    <x v="3"/>
    <x v="0"/>
    <x v="4"/>
    <n v="5"/>
    <n v="6"/>
    <n v="6"/>
    <n v="8"/>
    <n v="1"/>
    <n v="0"/>
    <n v="0"/>
  </r>
  <r>
    <n v="14"/>
    <x v="9"/>
    <s v="male"/>
    <s v="abuja"/>
    <s v="300k-500k"/>
    <s v="Advanced"/>
    <s v="Employed"/>
    <n v="1"/>
    <x v="1"/>
    <n v="180"/>
    <n v="6"/>
    <n v="5000"/>
    <n v="7"/>
    <n v="0"/>
    <n v="1"/>
    <n v="0"/>
    <n v="1"/>
    <n v="1"/>
    <n v="0"/>
    <n v="0"/>
    <n v="7"/>
    <x v="4"/>
    <x v="0"/>
    <x v="0"/>
    <n v="6"/>
    <n v="6"/>
    <n v="7"/>
    <n v="8"/>
    <n v="0"/>
    <n v="1"/>
    <n v="1"/>
  </r>
  <r>
    <n v="15"/>
    <x v="7"/>
    <s v="male"/>
    <s v="portharcourt"/>
    <s v="300k-500k"/>
    <s v="Intermediate"/>
    <s v="Employed"/>
    <n v="0"/>
    <x v="2"/>
    <n v="111"/>
    <n v="10"/>
    <n v="10000"/>
    <n v="8"/>
    <n v="0"/>
    <n v="1"/>
    <n v="0"/>
    <n v="1"/>
    <n v="0"/>
    <n v="0"/>
    <n v="1"/>
    <n v="6"/>
    <x v="0"/>
    <x v="2"/>
    <x v="1"/>
    <n v="5"/>
    <n v="4"/>
    <n v="7"/>
    <n v="8"/>
    <n v="0"/>
    <n v="0"/>
    <n v="1"/>
  </r>
  <r>
    <n v="16"/>
    <x v="2"/>
    <s v="female"/>
    <s v="porthartcourt"/>
    <s v="100k-300k"/>
    <s v="Begnner"/>
    <s v="Employed"/>
    <n v="1"/>
    <x v="0"/>
    <n v="55"/>
    <n v="10"/>
    <n v="500000"/>
    <n v="9"/>
    <n v="1"/>
    <n v="0"/>
    <n v="0"/>
    <n v="0"/>
    <n v="0"/>
    <n v="1"/>
    <n v="1"/>
    <n v="1"/>
    <x v="0"/>
    <x v="5"/>
    <x v="0"/>
    <n v="5"/>
    <n v="7"/>
    <n v="7"/>
    <n v="8"/>
    <n v="0"/>
    <n v="0"/>
    <n v="1"/>
  </r>
  <r>
    <n v="17"/>
    <x v="11"/>
    <s v="male"/>
    <s v="portharcourt"/>
    <s v="below_300k"/>
    <s v="Beginner"/>
    <s v="student"/>
    <n v="0"/>
    <x v="3"/>
    <n v="516"/>
    <n v="13"/>
    <n v="60000"/>
    <n v="4"/>
    <n v="1"/>
    <n v="0"/>
    <n v="0"/>
    <n v="0"/>
    <n v="1"/>
    <n v="0"/>
    <n v="1"/>
    <n v="1"/>
    <x v="4"/>
    <x v="0"/>
    <x v="0"/>
    <n v="4"/>
    <n v="6"/>
    <n v="8"/>
    <n v="8"/>
    <n v="0"/>
    <n v="0"/>
    <n v="0"/>
  </r>
  <r>
    <n v="18"/>
    <x v="12"/>
    <s v="male"/>
    <s v="Kano"/>
    <s v="100k-300k"/>
    <s v="Begnner"/>
    <s v="student"/>
    <n v="1"/>
    <x v="4"/>
    <n v="155"/>
    <n v="10"/>
    <n v="90000"/>
    <n v="7"/>
    <n v="0"/>
    <n v="1"/>
    <n v="0"/>
    <n v="0"/>
    <n v="1"/>
    <n v="0"/>
    <n v="0"/>
    <n v="1"/>
    <x v="0"/>
    <x v="6"/>
    <x v="0"/>
    <n v="5"/>
    <n v="3"/>
    <n v="7"/>
    <n v="6"/>
    <n v="0"/>
    <n v="0"/>
    <n v="1"/>
  </r>
  <r>
    <n v="19"/>
    <x v="13"/>
    <s v="female"/>
    <s v="Kano"/>
    <s v="above-500k"/>
    <s v="Advanced"/>
    <s v="Self-employed"/>
    <n v="1"/>
    <x v="5"/>
    <n v="552"/>
    <n v="20"/>
    <n v="10000"/>
    <n v="9"/>
    <n v="0"/>
    <n v="1"/>
    <n v="0"/>
    <n v="1"/>
    <n v="1"/>
    <n v="0"/>
    <n v="1"/>
    <n v="1"/>
    <x v="1"/>
    <x v="0"/>
    <x v="4"/>
    <n v="5"/>
    <n v="8"/>
    <n v="7"/>
    <n v="8"/>
    <n v="1"/>
    <n v="0"/>
    <n v="0"/>
  </r>
  <r>
    <n v="20"/>
    <x v="3"/>
    <s v="female"/>
    <s v="Lagos"/>
    <s v="100k-300k"/>
    <s v="intermident"/>
    <s v="Self-employed"/>
    <n v="1"/>
    <x v="6"/>
    <n v="656"/>
    <n v="4"/>
    <n v="8000"/>
    <n v="3"/>
    <n v="0"/>
    <n v="1"/>
    <n v="1"/>
    <n v="0"/>
    <n v="1"/>
    <n v="0"/>
    <n v="0"/>
    <n v="5"/>
    <x v="0"/>
    <x v="4"/>
    <x v="0"/>
    <n v="5"/>
    <n v="7"/>
    <n v="7"/>
    <n v="8"/>
    <n v="1"/>
    <n v="1"/>
    <n v="1"/>
  </r>
  <r>
    <m/>
    <x v="14"/>
    <m/>
    <m/>
    <m/>
    <m/>
    <m/>
    <m/>
    <x v="7"/>
    <m/>
    <m/>
    <m/>
    <m/>
    <m/>
    <m/>
    <m/>
    <m/>
    <m/>
    <m/>
    <m/>
    <m/>
    <x v="5"/>
    <x v="7"/>
    <x v="5"/>
    <m/>
    <m/>
    <m/>
    <m/>
    <m/>
    <m/>
    <m/>
  </r>
</pivotCacheRecords>
</file>

<file path=xl/pivotCache/pivotCacheRecords2.xml><?xml version="1.0" encoding="utf-8"?>
<pivotCacheRecords xmlns="http://schemas.openxmlformats.org/spreadsheetml/2006/main" count="21">
  <r>
    <n v="1"/>
    <x v="0"/>
    <s v="male"/>
    <s v="abuja"/>
    <s v="below-100k"/>
    <s v="Beginner"/>
    <s v="student"/>
    <n v="1"/>
    <x v="0"/>
    <n v="55"/>
    <n v="20"/>
    <n v="50000"/>
    <n v="1"/>
    <n v="1"/>
    <n v="1"/>
    <n v="1"/>
    <n v="1"/>
    <n v="1"/>
    <n v="1"/>
    <n v="1"/>
    <n v="1"/>
    <x v="0"/>
    <x v="0"/>
    <x v="0"/>
    <n v="5"/>
    <n v="6"/>
    <n v="7"/>
    <n v="8"/>
    <n v="1"/>
    <n v="0"/>
    <n v="1"/>
  </r>
  <r>
    <n v="2"/>
    <x v="1"/>
    <s v="female"/>
    <s v="Lagos"/>
    <s v="100k-300k"/>
    <s v="Intermediate"/>
    <s v="Employed"/>
    <n v="1"/>
    <x v="1"/>
    <n v="180"/>
    <n v="6"/>
    <n v="5000"/>
    <n v="8"/>
    <n v="0"/>
    <n v="1"/>
    <n v="0"/>
    <n v="1"/>
    <n v="1"/>
    <n v="0"/>
    <n v="0"/>
    <n v="2"/>
    <x v="1"/>
    <x v="1"/>
    <x v="1"/>
    <n v="1"/>
    <n v="7"/>
    <n v="7"/>
    <n v="7"/>
    <n v="1"/>
    <n v="1"/>
    <n v="1"/>
  </r>
  <r>
    <n v="3"/>
    <x v="2"/>
    <s v="female"/>
    <s v="Kano"/>
    <s v="300k-500k"/>
    <s v="Advanced"/>
    <s v="Self-employed"/>
    <n v="0"/>
    <x v="2"/>
    <n v="111"/>
    <n v="10"/>
    <n v="10000"/>
    <n v="7"/>
    <n v="0"/>
    <n v="1"/>
    <n v="0"/>
    <n v="1"/>
    <n v="0"/>
    <n v="1"/>
    <n v="1"/>
    <n v="8"/>
    <x v="0"/>
    <x v="2"/>
    <x v="2"/>
    <n v="8"/>
    <n v="4"/>
    <n v="7"/>
    <n v="6"/>
    <n v="1"/>
    <n v="0"/>
    <n v="0"/>
  </r>
  <r>
    <n v="4"/>
    <x v="3"/>
    <s v="female"/>
    <s v="abuja"/>
    <s v="300k-500k"/>
    <s v="Advanced"/>
    <s v="Employed"/>
    <n v="1"/>
    <x v="0"/>
    <n v="55"/>
    <n v="10"/>
    <n v="500000"/>
    <n v="9"/>
    <n v="0"/>
    <n v="0"/>
    <n v="1"/>
    <n v="0"/>
    <n v="1"/>
    <n v="1"/>
    <n v="0"/>
    <n v="2"/>
    <x v="0"/>
    <x v="3"/>
    <x v="0"/>
    <n v="5"/>
    <n v="6"/>
    <n v="5"/>
    <n v="8"/>
    <n v="0"/>
    <n v="0"/>
    <n v="1"/>
  </r>
  <r>
    <n v="5"/>
    <x v="4"/>
    <s v="female"/>
    <s v="Lagos"/>
    <s v="100k-300k"/>
    <s v="Intermediate"/>
    <s v="Employed"/>
    <n v="0"/>
    <x v="3"/>
    <n v="515"/>
    <n v="12"/>
    <n v="60000"/>
    <n v="4"/>
    <n v="1"/>
    <n v="1"/>
    <n v="0"/>
    <n v="1"/>
    <n v="1"/>
    <n v="1"/>
    <n v="1"/>
    <n v="7"/>
    <x v="0"/>
    <x v="0"/>
    <x v="0"/>
    <n v="5"/>
    <n v="8"/>
    <n v="2"/>
    <n v="4"/>
    <n v="0"/>
    <n v="1"/>
    <n v="1"/>
  </r>
  <r>
    <n v="6"/>
    <x v="5"/>
    <s v="female"/>
    <s v="abuja"/>
    <s v="100k-300k"/>
    <s v="Intermediate"/>
    <s v="Employed"/>
    <n v="1"/>
    <x v="4"/>
    <n v="155"/>
    <n v="20"/>
    <n v="90000"/>
    <n v="6"/>
    <n v="0"/>
    <n v="1"/>
    <n v="0"/>
    <n v="1"/>
    <n v="1"/>
    <n v="0"/>
    <n v="0"/>
    <n v="1"/>
    <x v="0"/>
    <x v="1"/>
    <x v="3"/>
    <n v="5"/>
    <n v="4"/>
    <n v="6"/>
    <n v="7"/>
    <n v="0"/>
    <n v="0"/>
    <n v="0"/>
  </r>
  <r>
    <n v="7"/>
    <x v="6"/>
    <s v="male"/>
    <s v="portharcourt"/>
    <s v="below_300k"/>
    <s v="Beginner"/>
    <s v="student"/>
    <n v="0"/>
    <x v="5"/>
    <n v="552"/>
    <n v="20"/>
    <n v="10000"/>
    <n v="10"/>
    <n v="0"/>
    <n v="1"/>
    <n v="0"/>
    <n v="1"/>
    <n v="1"/>
    <n v="0"/>
    <n v="1"/>
    <n v="6"/>
    <x v="0"/>
    <x v="0"/>
    <x v="3"/>
    <n v="5"/>
    <n v="6"/>
    <n v="7"/>
    <n v="4"/>
    <n v="1"/>
    <n v="1"/>
    <n v="1"/>
  </r>
  <r>
    <n v="8"/>
    <x v="7"/>
    <s v="male"/>
    <s v="Lagos"/>
    <s v="100k-300k"/>
    <s v="Intermediate"/>
    <s v="Employed"/>
    <n v="1"/>
    <x v="6"/>
    <n v="655"/>
    <n v="3"/>
    <n v="7000"/>
    <n v="2"/>
    <n v="0"/>
    <n v="0"/>
    <n v="1"/>
    <n v="1"/>
    <n v="0"/>
    <n v="0"/>
    <n v="0"/>
    <n v="1"/>
    <x v="0"/>
    <x v="4"/>
    <x v="4"/>
    <n v="5"/>
    <n v="6"/>
    <n v="7"/>
    <n v="6"/>
    <n v="1"/>
    <n v="0"/>
    <n v="0"/>
  </r>
  <r>
    <n v="9"/>
    <x v="8"/>
    <s v="male"/>
    <s v="Kano"/>
    <s v="below-100k"/>
    <s v="Beginner"/>
    <s v="student"/>
    <n v="1"/>
    <x v="0"/>
    <n v="65"/>
    <n v="17"/>
    <n v="8000"/>
    <n v="7"/>
    <n v="1"/>
    <n v="0"/>
    <n v="0"/>
    <n v="1"/>
    <n v="0"/>
    <n v="0"/>
    <n v="1"/>
    <n v="8"/>
    <x v="2"/>
    <x v="0"/>
    <x v="0"/>
    <n v="5"/>
    <n v="7"/>
    <n v="7"/>
    <n v="8"/>
    <n v="0"/>
    <n v="0"/>
    <n v="0"/>
  </r>
  <r>
    <n v="10"/>
    <x v="9"/>
    <s v="female"/>
    <s v="Lagos"/>
    <s v="above-500k"/>
    <s v="Advanced"/>
    <s v="Self-employed"/>
    <n v="0"/>
    <x v="4"/>
    <n v="545"/>
    <n v="12"/>
    <n v="90000"/>
    <n v="1"/>
    <n v="0"/>
    <n v="1"/>
    <n v="0"/>
    <n v="1"/>
    <n v="0"/>
    <n v="0"/>
    <n v="0"/>
    <n v="1"/>
    <x v="0"/>
    <x v="0"/>
    <x v="0"/>
    <n v="5"/>
    <n v="6"/>
    <n v="7"/>
    <n v="8"/>
    <n v="1"/>
    <n v="0"/>
    <n v="1"/>
  </r>
  <r>
    <n v="11"/>
    <x v="10"/>
    <s v="male"/>
    <s v="abuja"/>
    <s v="below-100k"/>
    <s v="Beginner"/>
    <s v="student"/>
    <n v="0"/>
    <x v="5"/>
    <n v="88"/>
    <n v="20"/>
    <n v="40000"/>
    <n v="4"/>
    <n v="1"/>
    <n v="1"/>
    <n v="1"/>
    <n v="1"/>
    <n v="1"/>
    <n v="1"/>
    <n v="1"/>
    <n v="1"/>
    <x v="0"/>
    <x v="0"/>
    <x v="0"/>
    <n v="5"/>
    <n v="6"/>
    <n v="7"/>
    <n v="8"/>
    <n v="1"/>
    <n v="0"/>
    <n v="1"/>
  </r>
  <r>
    <n v="12"/>
    <x v="1"/>
    <s v="female"/>
    <s v="Lagos"/>
    <s v="100k-300k"/>
    <s v="Intermediate"/>
    <s v="Employed"/>
    <n v="1"/>
    <x v="6"/>
    <n v="115"/>
    <n v="20"/>
    <n v="500000"/>
    <n v="1"/>
    <n v="1"/>
    <n v="0"/>
    <n v="1"/>
    <n v="0"/>
    <n v="0"/>
    <n v="1"/>
    <n v="0"/>
    <n v="4"/>
    <x v="0"/>
    <x v="2"/>
    <x v="0"/>
    <n v="5"/>
    <n v="8"/>
    <n v="7"/>
    <n v="8"/>
    <n v="1"/>
    <n v="0"/>
    <n v="1"/>
  </r>
  <r>
    <n v="13"/>
    <x v="2"/>
    <s v="female"/>
    <s v="Kano"/>
    <s v="above-500k"/>
    <s v="Advanced"/>
    <s v="Self-employed"/>
    <n v="1"/>
    <x v="0"/>
    <n v="55"/>
    <n v="20"/>
    <n v="50000"/>
    <n v="1"/>
    <n v="0"/>
    <n v="1"/>
    <n v="0"/>
    <n v="1"/>
    <n v="1"/>
    <n v="0"/>
    <n v="1"/>
    <n v="3"/>
    <x v="3"/>
    <x v="0"/>
    <x v="4"/>
    <n v="5"/>
    <n v="6"/>
    <n v="6"/>
    <n v="8"/>
    <n v="1"/>
    <n v="0"/>
    <n v="0"/>
  </r>
  <r>
    <n v="14"/>
    <x v="9"/>
    <s v="male"/>
    <s v="abuja"/>
    <s v="300k-500k"/>
    <s v="Advanced"/>
    <s v="Employed"/>
    <n v="1"/>
    <x v="1"/>
    <n v="180"/>
    <n v="6"/>
    <n v="5000"/>
    <n v="7"/>
    <n v="0"/>
    <n v="1"/>
    <n v="0"/>
    <n v="1"/>
    <n v="1"/>
    <n v="0"/>
    <n v="0"/>
    <n v="7"/>
    <x v="4"/>
    <x v="0"/>
    <x v="0"/>
    <n v="6"/>
    <n v="6"/>
    <n v="7"/>
    <n v="8"/>
    <n v="0"/>
    <n v="1"/>
    <n v="1"/>
  </r>
  <r>
    <n v="15"/>
    <x v="7"/>
    <s v="male"/>
    <s v="portharcourt"/>
    <s v="300k-500k"/>
    <s v="Intermediate"/>
    <s v="Employed"/>
    <n v="0"/>
    <x v="2"/>
    <n v="111"/>
    <n v="10"/>
    <n v="10000"/>
    <n v="8"/>
    <n v="0"/>
    <n v="1"/>
    <n v="0"/>
    <n v="1"/>
    <n v="0"/>
    <n v="0"/>
    <n v="1"/>
    <n v="6"/>
    <x v="0"/>
    <x v="2"/>
    <x v="1"/>
    <n v="5"/>
    <n v="4"/>
    <n v="7"/>
    <n v="8"/>
    <n v="0"/>
    <n v="0"/>
    <n v="1"/>
  </r>
  <r>
    <n v="16"/>
    <x v="2"/>
    <s v="female"/>
    <s v="porthartcourt"/>
    <s v="100k-300k"/>
    <s v="Begnner"/>
    <s v="Employed"/>
    <n v="1"/>
    <x v="0"/>
    <n v="55"/>
    <n v="10"/>
    <n v="500000"/>
    <n v="9"/>
    <n v="1"/>
    <n v="0"/>
    <n v="0"/>
    <n v="0"/>
    <n v="0"/>
    <n v="1"/>
    <n v="1"/>
    <n v="1"/>
    <x v="0"/>
    <x v="5"/>
    <x v="0"/>
    <n v="5"/>
    <n v="7"/>
    <n v="7"/>
    <n v="8"/>
    <n v="0"/>
    <n v="0"/>
    <n v="1"/>
  </r>
  <r>
    <n v="17"/>
    <x v="11"/>
    <s v="male"/>
    <s v="portharcourt"/>
    <s v="below_300k"/>
    <s v="Beginner"/>
    <s v="student"/>
    <n v="0"/>
    <x v="3"/>
    <n v="516"/>
    <n v="13"/>
    <n v="60000"/>
    <n v="4"/>
    <n v="1"/>
    <n v="0"/>
    <n v="0"/>
    <n v="0"/>
    <n v="1"/>
    <n v="0"/>
    <n v="1"/>
    <n v="1"/>
    <x v="4"/>
    <x v="0"/>
    <x v="0"/>
    <n v="4"/>
    <n v="6"/>
    <n v="8"/>
    <n v="8"/>
    <n v="0"/>
    <n v="0"/>
    <n v="0"/>
  </r>
  <r>
    <n v="18"/>
    <x v="12"/>
    <s v="male"/>
    <s v="Kano"/>
    <s v="100k-300k"/>
    <s v="Begnner"/>
    <s v="student"/>
    <n v="1"/>
    <x v="4"/>
    <n v="155"/>
    <n v="10"/>
    <n v="90000"/>
    <n v="7"/>
    <n v="0"/>
    <n v="1"/>
    <n v="0"/>
    <n v="0"/>
    <n v="1"/>
    <n v="0"/>
    <n v="0"/>
    <n v="1"/>
    <x v="0"/>
    <x v="6"/>
    <x v="0"/>
    <n v="5"/>
    <n v="3"/>
    <n v="7"/>
    <n v="6"/>
    <n v="0"/>
    <n v="0"/>
    <n v="1"/>
  </r>
  <r>
    <n v="19"/>
    <x v="13"/>
    <s v="female"/>
    <s v="Kano"/>
    <s v="above-500k"/>
    <s v="Advanced"/>
    <s v="Self-employed"/>
    <n v="1"/>
    <x v="5"/>
    <n v="552"/>
    <n v="20"/>
    <n v="10000"/>
    <n v="9"/>
    <n v="0"/>
    <n v="1"/>
    <n v="0"/>
    <n v="1"/>
    <n v="1"/>
    <n v="0"/>
    <n v="1"/>
    <n v="1"/>
    <x v="1"/>
    <x v="0"/>
    <x v="4"/>
    <n v="5"/>
    <n v="8"/>
    <n v="7"/>
    <n v="8"/>
    <n v="1"/>
    <n v="0"/>
    <n v="0"/>
  </r>
  <r>
    <n v="20"/>
    <x v="3"/>
    <s v="female"/>
    <s v="Lagos"/>
    <s v="100k-300k"/>
    <s v="intermident"/>
    <s v="Self-employed"/>
    <n v="1"/>
    <x v="6"/>
    <n v="656"/>
    <n v="4"/>
    <n v="8000"/>
    <n v="3"/>
    <n v="0"/>
    <n v="1"/>
    <n v="1"/>
    <n v="0"/>
    <n v="1"/>
    <n v="0"/>
    <n v="0"/>
    <n v="5"/>
    <x v="0"/>
    <x v="4"/>
    <x v="0"/>
    <n v="5"/>
    <n v="7"/>
    <n v="7"/>
    <n v="8"/>
    <n v="1"/>
    <n v="1"/>
    <n v="1"/>
  </r>
  <r>
    <m/>
    <x v="14"/>
    <m/>
    <m/>
    <m/>
    <m/>
    <m/>
    <m/>
    <x v="7"/>
    <m/>
    <m/>
    <m/>
    <m/>
    <m/>
    <m/>
    <m/>
    <m/>
    <m/>
    <m/>
    <m/>
    <m/>
    <x v="5"/>
    <x v="7"/>
    <x v="5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0:B18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5"/>
        <item x="6"/>
        <item x="2"/>
        <item x="4"/>
        <item x="1"/>
        <item x="3"/>
        <item h="1"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atisfaction_rating" fld="12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6" firstHeaderRow="0" firstDataRow="1" firstDataCol="1"/>
  <pivotFields count="11"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instant_cashout_priority" fld="4" baseField="0" baseItem="2"/>
    <dataField name="Sum of budget_tracking_priority" fld="7" baseField="0" baseItem="2"/>
    <dataField name="Sum of low_fees_priority" fld="5" baseField="0" baseItem="2"/>
    <dataField name="Sum of dual_wallet_priority" fld="8" baseField="0" baseItem="2"/>
    <dataField name="Sum of referral_rewards_priority" fld="9" baseField="0" baseItem="2"/>
    <dataField name="Sum of security_features_priority" fld="10" baseField="0" baseItem="2"/>
    <dataField name="Sum of easy_international_priority" fld="6" baseField="0" baseItem="2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1"/>
  <sheetViews>
    <sheetView topLeftCell="E13" workbookViewId="0">
      <selection activeCell="E25" sqref="E25"/>
    </sheetView>
  </sheetViews>
  <sheetFormatPr defaultRowHeight="15" x14ac:dyDescent="0.25"/>
  <cols>
    <col min="1" max="1" width="14.7109375" style="1" bestFit="1" customWidth="1"/>
    <col min="2" max="2" width="4.140625" style="1" bestFit="1" customWidth="1"/>
    <col min="3" max="3" width="7.28515625" style="1" bestFit="1" customWidth="1"/>
    <col min="4" max="4" width="12.85546875" style="1" bestFit="1" customWidth="1"/>
    <col min="5" max="5" width="13.140625" style="1" bestFit="1" customWidth="1"/>
    <col min="6" max="6" width="15.85546875" style="1" bestFit="1" customWidth="1"/>
    <col min="7" max="7" width="19" style="1" bestFit="1" customWidth="1"/>
    <col min="8" max="8" width="13.85546875" style="1" bestFit="1" customWidth="1"/>
    <col min="9" max="9" width="14.140625" style="1" bestFit="1" customWidth="1"/>
    <col min="10" max="10" width="23.42578125" style="1" bestFit="1" customWidth="1"/>
    <col min="11" max="11" width="25.140625" style="1" bestFit="1" customWidth="1"/>
    <col min="12" max="12" width="26.5703125" style="1" bestFit="1" customWidth="1"/>
    <col min="13" max="13" width="30" style="1" bestFit="1" customWidth="1"/>
    <col min="14" max="14" width="26.5703125" style="1" bestFit="1" customWidth="1"/>
    <col min="15" max="15" width="17.5703125" style="1" bestFit="1" customWidth="1"/>
    <col min="17" max="17" width="7.5703125" style="1" bestFit="1" customWidth="1"/>
    <col min="18" max="18" width="14.140625" style="1" bestFit="1" customWidth="1"/>
    <col min="19" max="19" width="9.7109375" style="1" bestFit="1" customWidth="1"/>
    <col min="20" max="20" width="17.85546875" style="1" bestFit="1" customWidth="1"/>
    <col min="21" max="21" width="22.7109375" style="1" bestFit="1" customWidth="1"/>
    <col min="22" max="22" width="21.140625" style="1" bestFit="1" customWidth="1"/>
    <col min="23" max="23" width="17" style="1" bestFit="1" customWidth="1"/>
    <col min="24" max="24" width="24.42578125" style="1" bestFit="1" customWidth="1"/>
    <col min="25" max="25" width="26.28515625" style="1" bestFit="1" customWidth="1"/>
    <col min="28" max="28" width="13.7109375" style="1" bestFit="1" customWidth="1"/>
    <col min="29" max="29" width="14.140625" style="1" bestFit="1" customWidth="1"/>
    <col min="30" max="30" width="23" style="1" bestFit="1" customWidth="1"/>
    <col min="31" max="31" width="16.85546875" style="1" bestFit="1" customWidth="1"/>
    <col min="32" max="32" width="25.7109375" style="1" bestFit="1" customWidth="1"/>
    <col min="33" max="33" width="23.28515625" style="1" bestFit="1" customWidth="1"/>
    <col min="34" max="34" width="19.28515625" style="1" bestFit="1" customWidth="1"/>
    <col min="35" max="35" width="23.85546875" style="1" bestFit="1" customWidth="1"/>
    <col min="36" max="36" width="24.42578125" style="1" bestFit="1" customWidth="1"/>
    <col min="37" max="37" width="25.140625" style="1" bestFit="1" customWidth="1"/>
    <col min="38" max="38" width="22.85546875" style="1" bestFit="1" customWidth="1"/>
    <col min="39" max="39" width="19.28515625" style="1" bestFit="1" customWidth="1"/>
    <col min="40" max="40" width="25.7109375" style="1" bestFit="1" customWidth="1"/>
  </cols>
  <sheetData>
    <row r="1" spans="1:40" hidden="1" x14ac:dyDescent="0.25"/>
    <row r="2" spans="1:4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Q2" t="s">
        <v>15</v>
      </c>
      <c r="R2" t="s">
        <v>8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AB2" t="s">
        <v>23</v>
      </c>
      <c r="AC2" t="s">
        <v>8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 t="s">
        <v>30</v>
      </c>
      <c r="AK2" t="s">
        <v>31</v>
      </c>
      <c r="AL2" t="s">
        <v>32</v>
      </c>
      <c r="AM2" t="s">
        <v>33</v>
      </c>
      <c r="AN2" t="s">
        <v>34</v>
      </c>
    </row>
    <row r="3" spans="1:40" x14ac:dyDescent="0.25">
      <c r="A3">
        <v>1</v>
      </c>
      <c r="B3">
        <v>18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>
        <v>1</v>
      </c>
      <c r="I3" t="s">
        <v>40</v>
      </c>
      <c r="J3">
        <v>1</v>
      </c>
      <c r="K3" t="s">
        <v>41</v>
      </c>
      <c r="L3">
        <v>55</v>
      </c>
      <c r="M3">
        <v>20</v>
      </c>
      <c r="N3">
        <v>50000</v>
      </c>
      <c r="O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AB3">
        <v>1</v>
      </c>
      <c r="AC3" t="s">
        <v>40</v>
      </c>
      <c r="AD3">
        <v>1</v>
      </c>
      <c r="AE3">
        <v>2</v>
      </c>
      <c r="AF3">
        <v>3</v>
      </c>
      <c r="AG3">
        <v>4</v>
      </c>
      <c r="AH3">
        <v>5</v>
      </c>
      <c r="AI3">
        <v>6</v>
      </c>
      <c r="AJ3">
        <v>7</v>
      </c>
      <c r="AK3">
        <v>8</v>
      </c>
      <c r="AL3">
        <v>1</v>
      </c>
      <c r="AM3">
        <v>0</v>
      </c>
      <c r="AN3">
        <v>1</v>
      </c>
    </row>
    <row r="4" spans="1:40" x14ac:dyDescent="0.25">
      <c r="A4">
        <v>2</v>
      </c>
      <c r="B4">
        <v>20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>
        <v>2</v>
      </c>
      <c r="I4" t="s">
        <v>40</v>
      </c>
      <c r="J4">
        <v>1</v>
      </c>
      <c r="K4" t="s">
        <v>47</v>
      </c>
      <c r="L4">
        <v>180</v>
      </c>
      <c r="M4">
        <v>6</v>
      </c>
      <c r="N4">
        <v>5000</v>
      </c>
      <c r="O4">
        <v>8</v>
      </c>
      <c r="Q4">
        <v>2</v>
      </c>
      <c r="R4">
        <v>2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0</v>
      </c>
      <c r="AB4">
        <v>2</v>
      </c>
      <c r="AC4" t="s">
        <v>40</v>
      </c>
      <c r="AD4">
        <v>2</v>
      </c>
      <c r="AE4">
        <v>1</v>
      </c>
      <c r="AF4">
        <v>2</v>
      </c>
      <c r="AG4">
        <v>6</v>
      </c>
      <c r="AH4">
        <v>1</v>
      </c>
      <c r="AI4">
        <v>7</v>
      </c>
      <c r="AJ4">
        <v>7</v>
      </c>
      <c r="AK4">
        <v>7</v>
      </c>
      <c r="AL4">
        <v>1</v>
      </c>
      <c r="AM4">
        <v>1</v>
      </c>
      <c r="AN4">
        <v>1</v>
      </c>
    </row>
    <row r="5" spans="1:40" x14ac:dyDescent="0.25">
      <c r="A5">
        <v>3</v>
      </c>
      <c r="B5">
        <v>40</v>
      </c>
      <c r="C5" t="s">
        <v>42</v>
      </c>
      <c r="D5" t="s">
        <v>48</v>
      </c>
      <c r="E5" t="s">
        <v>49</v>
      </c>
      <c r="F5" t="s">
        <v>50</v>
      </c>
      <c r="G5" t="s">
        <v>51</v>
      </c>
      <c r="H5">
        <v>3</v>
      </c>
      <c r="I5" t="s">
        <v>40</v>
      </c>
      <c r="J5">
        <v>0</v>
      </c>
      <c r="K5" t="s">
        <v>52</v>
      </c>
      <c r="L5">
        <v>111</v>
      </c>
      <c r="M5">
        <v>10</v>
      </c>
      <c r="N5">
        <v>10000</v>
      </c>
      <c r="O5">
        <v>7</v>
      </c>
      <c r="Q5">
        <v>3</v>
      </c>
      <c r="R5">
        <v>3</v>
      </c>
      <c r="S5">
        <v>0</v>
      </c>
      <c r="T5">
        <v>1</v>
      </c>
      <c r="U5">
        <v>0</v>
      </c>
      <c r="V5">
        <v>1</v>
      </c>
      <c r="W5">
        <v>0</v>
      </c>
      <c r="X5">
        <v>1</v>
      </c>
      <c r="Y5">
        <v>1</v>
      </c>
      <c r="AB5">
        <v>3</v>
      </c>
      <c r="AC5" t="s">
        <v>40</v>
      </c>
      <c r="AD5">
        <v>8</v>
      </c>
      <c r="AE5">
        <v>2</v>
      </c>
      <c r="AF5">
        <v>5</v>
      </c>
      <c r="AG5">
        <v>2</v>
      </c>
      <c r="AH5">
        <v>8</v>
      </c>
      <c r="AI5">
        <v>4</v>
      </c>
      <c r="AJ5">
        <v>7</v>
      </c>
      <c r="AK5">
        <v>6</v>
      </c>
      <c r="AL5">
        <v>1</v>
      </c>
      <c r="AM5">
        <v>0</v>
      </c>
      <c r="AN5">
        <v>0</v>
      </c>
    </row>
    <row r="6" spans="1:40" x14ac:dyDescent="0.25">
      <c r="A6">
        <v>4</v>
      </c>
      <c r="B6">
        <v>24</v>
      </c>
      <c r="C6" t="s">
        <v>42</v>
      </c>
      <c r="D6" t="s">
        <v>36</v>
      </c>
      <c r="E6" t="s">
        <v>49</v>
      </c>
      <c r="F6" t="s">
        <v>50</v>
      </c>
      <c r="G6" t="s">
        <v>46</v>
      </c>
      <c r="H6">
        <v>4</v>
      </c>
      <c r="I6" t="s">
        <v>40</v>
      </c>
      <c r="J6">
        <v>1</v>
      </c>
      <c r="K6" t="s">
        <v>41</v>
      </c>
      <c r="L6">
        <v>55</v>
      </c>
      <c r="M6">
        <v>10</v>
      </c>
      <c r="N6">
        <v>500000</v>
      </c>
      <c r="O6">
        <v>9</v>
      </c>
      <c r="Q6">
        <v>4</v>
      </c>
      <c r="R6">
        <v>4</v>
      </c>
      <c r="S6">
        <v>0</v>
      </c>
      <c r="T6">
        <v>0</v>
      </c>
      <c r="U6">
        <v>1</v>
      </c>
      <c r="V6">
        <v>0</v>
      </c>
      <c r="W6">
        <v>1</v>
      </c>
      <c r="X6">
        <v>1</v>
      </c>
      <c r="Y6">
        <v>0</v>
      </c>
      <c r="AB6">
        <v>4</v>
      </c>
      <c r="AC6" t="s">
        <v>40</v>
      </c>
      <c r="AD6">
        <v>2</v>
      </c>
      <c r="AE6">
        <v>2</v>
      </c>
      <c r="AF6">
        <v>6</v>
      </c>
      <c r="AG6">
        <v>4</v>
      </c>
      <c r="AH6">
        <v>5</v>
      </c>
      <c r="AI6">
        <v>6</v>
      </c>
      <c r="AJ6">
        <v>5</v>
      </c>
      <c r="AK6">
        <v>8</v>
      </c>
      <c r="AL6">
        <v>0</v>
      </c>
      <c r="AM6">
        <v>0</v>
      </c>
      <c r="AN6">
        <v>1</v>
      </c>
    </row>
    <row r="7" spans="1:40" x14ac:dyDescent="0.25">
      <c r="A7">
        <v>5</v>
      </c>
      <c r="B7">
        <v>35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>
        <v>5</v>
      </c>
      <c r="I7" t="s">
        <v>40</v>
      </c>
      <c r="J7">
        <v>0</v>
      </c>
      <c r="K7" t="s">
        <v>53</v>
      </c>
      <c r="L7">
        <v>515</v>
      </c>
      <c r="M7">
        <v>12</v>
      </c>
      <c r="N7">
        <v>60000</v>
      </c>
      <c r="O7">
        <v>4</v>
      </c>
      <c r="Q7">
        <v>5</v>
      </c>
      <c r="R7">
        <v>5</v>
      </c>
      <c r="S7">
        <v>1</v>
      </c>
      <c r="T7">
        <v>1</v>
      </c>
      <c r="U7">
        <v>0</v>
      </c>
      <c r="V7">
        <v>1</v>
      </c>
      <c r="W7">
        <v>1</v>
      </c>
      <c r="X7">
        <v>1</v>
      </c>
      <c r="Y7">
        <v>1</v>
      </c>
      <c r="AB7">
        <v>5</v>
      </c>
      <c r="AC7" t="s">
        <v>40</v>
      </c>
      <c r="AD7">
        <v>7</v>
      </c>
      <c r="AE7">
        <v>2</v>
      </c>
      <c r="AF7">
        <v>3</v>
      </c>
      <c r="AG7">
        <v>4</v>
      </c>
      <c r="AH7">
        <v>5</v>
      </c>
      <c r="AI7">
        <v>8</v>
      </c>
      <c r="AJ7">
        <v>2</v>
      </c>
      <c r="AK7">
        <v>4</v>
      </c>
      <c r="AL7">
        <v>0</v>
      </c>
      <c r="AM7">
        <v>1</v>
      </c>
      <c r="AN7">
        <v>1</v>
      </c>
    </row>
    <row r="8" spans="1:40" x14ac:dyDescent="0.25">
      <c r="A8">
        <v>6</v>
      </c>
      <c r="B8">
        <v>50</v>
      </c>
      <c r="C8" t="s">
        <v>42</v>
      </c>
      <c r="D8" t="s">
        <v>36</v>
      </c>
      <c r="E8" t="s">
        <v>44</v>
      </c>
      <c r="F8" t="s">
        <v>45</v>
      </c>
      <c r="G8" t="s">
        <v>46</v>
      </c>
      <c r="H8">
        <v>6</v>
      </c>
      <c r="I8" t="s">
        <v>40</v>
      </c>
      <c r="J8">
        <v>1</v>
      </c>
      <c r="K8" t="s">
        <v>54</v>
      </c>
      <c r="L8">
        <v>155</v>
      </c>
      <c r="M8">
        <v>20</v>
      </c>
      <c r="N8">
        <v>90000</v>
      </c>
      <c r="O8">
        <v>6</v>
      </c>
      <c r="Q8">
        <v>6</v>
      </c>
      <c r="R8">
        <v>6</v>
      </c>
      <c r="S8">
        <v>0</v>
      </c>
      <c r="T8">
        <v>1</v>
      </c>
      <c r="U8">
        <v>0</v>
      </c>
      <c r="V8">
        <v>1</v>
      </c>
      <c r="W8">
        <v>1</v>
      </c>
      <c r="X8">
        <v>0</v>
      </c>
      <c r="Y8">
        <v>0</v>
      </c>
      <c r="AB8">
        <v>6</v>
      </c>
      <c r="AC8" t="s">
        <v>40</v>
      </c>
      <c r="AD8">
        <v>1</v>
      </c>
      <c r="AE8">
        <v>2</v>
      </c>
      <c r="AF8">
        <v>2</v>
      </c>
      <c r="AG8">
        <v>7</v>
      </c>
      <c r="AH8">
        <v>5</v>
      </c>
      <c r="AI8">
        <v>4</v>
      </c>
      <c r="AJ8">
        <v>6</v>
      </c>
      <c r="AK8">
        <v>7</v>
      </c>
      <c r="AL8">
        <v>0</v>
      </c>
      <c r="AM8">
        <v>0</v>
      </c>
      <c r="AN8">
        <v>0</v>
      </c>
    </row>
    <row r="9" spans="1:40" x14ac:dyDescent="0.25">
      <c r="A9">
        <v>7</v>
      </c>
      <c r="B9">
        <v>60</v>
      </c>
      <c r="C9" t="s">
        <v>35</v>
      </c>
      <c r="D9" t="s">
        <v>55</v>
      </c>
      <c r="E9" t="s">
        <v>56</v>
      </c>
      <c r="F9" t="s">
        <v>57</v>
      </c>
      <c r="G9" t="s">
        <v>58</v>
      </c>
      <c r="H9">
        <v>7</v>
      </c>
      <c r="I9" t="s">
        <v>40</v>
      </c>
      <c r="J9">
        <v>0</v>
      </c>
      <c r="K9" t="s">
        <v>59</v>
      </c>
      <c r="L9">
        <v>552</v>
      </c>
      <c r="M9">
        <v>20</v>
      </c>
      <c r="N9">
        <v>10000</v>
      </c>
      <c r="O9">
        <v>10</v>
      </c>
      <c r="Q9">
        <v>7</v>
      </c>
      <c r="R9">
        <v>7</v>
      </c>
      <c r="S9">
        <v>0</v>
      </c>
      <c r="T9">
        <v>1</v>
      </c>
      <c r="U9">
        <v>0</v>
      </c>
      <c r="V9">
        <v>1</v>
      </c>
      <c r="W9">
        <v>1</v>
      </c>
      <c r="X9">
        <v>0</v>
      </c>
      <c r="Y9">
        <v>1</v>
      </c>
      <c r="AB9">
        <v>7</v>
      </c>
      <c r="AC9" t="s">
        <v>40</v>
      </c>
      <c r="AD9">
        <v>6</v>
      </c>
      <c r="AE9">
        <v>2</v>
      </c>
      <c r="AF9">
        <v>3</v>
      </c>
      <c r="AG9">
        <v>7</v>
      </c>
      <c r="AH9">
        <v>5</v>
      </c>
      <c r="AI9">
        <v>6</v>
      </c>
      <c r="AJ9">
        <v>7</v>
      </c>
      <c r="AK9">
        <v>4</v>
      </c>
      <c r="AL9">
        <v>1</v>
      </c>
      <c r="AM9">
        <v>1</v>
      </c>
      <c r="AN9">
        <v>1</v>
      </c>
    </row>
    <row r="10" spans="1:40" x14ac:dyDescent="0.25">
      <c r="A10">
        <v>8</v>
      </c>
      <c r="B10">
        <v>25</v>
      </c>
      <c r="C10" t="s">
        <v>35</v>
      </c>
      <c r="D10" t="s">
        <v>43</v>
      </c>
      <c r="E10" t="s">
        <v>44</v>
      </c>
      <c r="F10" t="s">
        <v>45</v>
      </c>
      <c r="G10" t="s">
        <v>46</v>
      </c>
      <c r="H10">
        <v>8</v>
      </c>
      <c r="I10" t="s">
        <v>40</v>
      </c>
      <c r="J10">
        <v>1</v>
      </c>
      <c r="K10" t="s">
        <v>60</v>
      </c>
      <c r="L10">
        <v>655</v>
      </c>
      <c r="M10">
        <v>3</v>
      </c>
      <c r="N10">
        <v>7000</v>
      </c>
      <c r="O10">
        <v>2</v>
      </c>
      <c r="Q10">
        <v>8</v>
      </c>
      <c r="R10">
        <v>8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AB10">
        <v>8</v>
      </c>
      <c r="AC10" t="s">
        <v>40</v>
      </c>
      <c r="AD10">
        <v>1</v>
      </c>
      <c r="AE10">
        <v>2</v>
      </c>
      <c r="AF10">
        <v>7</v>
      </c>
      <c r="AG10">
        <v>5</v>
      </c>
      <c r="AH10">
        <v>5</v>
      </c>
      <c r="AI10">
        <v>6</v>
      </c>
      <c r="AJ10">
        <v>7</v>
      </c>
      <c r="AK10">
        <v>6</v>
      </c>
      <c r="AL10">
        <v>1</v>
      </c>
      <c r="AM10">
        <v>0</v>
      </c>
      <c r="AN10">
        <v>0</v>
      </c>
    </row>
    <row r="11" spans="1:40" x14ac:dyDescent="0.25">
      <c r="A11">
        <v>9</v>
      </c>
      <c r="B11">
        <v>19</v>
      </c>
      <c r="C11" t="s">
        <v>35</v>
      </c>
      <c r="D11" t="s">
        <v>61</v>
      </c>
      <c r="E11" t="s">
        <v>37</v>
      </c>
      <c r="F11" t="s">
        <v>38</v>
      </c>
      <c r="G11" t="s">
        <v>39</v>
      </c>
      <c r="H11">
        <v>9</v>
      </c>
      <c r="I11" t="s">
        <v>40</v>
      </c>
      <c r="J11">
        <v>1</v>
      </c>
      <c r="K11" t="s">
        <v>41</v>
      </c>
      <c r="L11">
        <v>65</v>
      </c>
      <c r="M11">
        <v>17</v>
      </c>
      <c r="N11">
        <v>8000</v>
      </c>
      <c r="O11">
        <v>7</v>
      </c>
      <c r="Q11">
        <v>9</v>
      </c>
      <c r="R11">
        <v>9</v>
      </c>
      <c r="S11">
        <v>1</v>
      </c>
      <c r="T11">
        <v>0</v>
      </c>
      <c r="U11">
        <v>0</v>
      </c>
      <c r="V11">
        <v>1</v>
      </c>
      <c r="W11">
        <v>0</v>
      </c>
      <c r="X11">
        <v>0</v>
      </c>
      <c r="Y11">
        <v>1</v>
      </c>
      <c r="AB11">
        <v>9</v>
      </c>
      <c r="AC11" t="s">
        <v>40</v>
      </c>
      <c r="AD11">
        <v>8</v>
      </c>
      <c r="AE11">
        <v>8</v>
      </c>
      <c r="AF11">
        <v>3</v>
      </c>
      <c r="AG11">
        <v>4</v>
      </c>
      <c r="AH11">
        <v>5</v>
      </c>
      <c r="AI11">
        <v>7</v>
      </c>
      <c r="AJ11">
        <v>7</v>
      </c>
      <c r="AK11">
        <v>8</v>
      </c>
      <c r="AL11">
        <v>0</v>
      </c>
      <c r="AM11">
        <v>0</v>
      </c>
      <c r="AN11">
        <v>0</v>
      </c>
    </row>
    <row r="12" spans="1:40" x14ac:dyDescent="0.25">
      <c r="A12">
        <v>10</v>
      </c>
      <c r="B12">
        <v>34</v>
      </c>
      <c r="C12" t="s">
        <v>42</v>
      </c>
      <c r="D12" t="s">
        <v>62</v>
      </c>
      <c r="E12" t="s">
        <v>63</v>
      </c>
      <c r="F12" t="s">
        <v>50</v>
      </c>
      <c r="G12" t="s">
        <v>64</v>
      </c>
      <c r="H12">
        <v>10</v>
      </c>
      <c r="I12" t="s">
        <v>40</v>
      </c>
      <c r="J12">
        <v>0</v>
      </c>
      <c r="K12" t="s">
        <v>54</v>
      </c>
      <c r="L12">
        <v>545</v>
      </c>
      <c r="M12">
        <v>12</v>
      </c>
      <c r="N12">
        <v>90000</v>
      </c>
      <c r="O12">
        <v>1</v>
      </c>
      <c r="Q12">
        <v>10</v>
      </c>
      <c r="R12">
        <v>10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  <c r="AB12">
        <v>10</v>
      </c>
      <c r="AC12" t="s">
        <v>40</v>
      </c>
      <c r="AD12">
        <v>1</v>
      </c>
      <c r="AE12">
        <v>2</v>
      </c>
      <c r="AF12">
        <v>3</v>
      </c>
      <c r="AG12">
        <v>4</v>
      </c>
      <c r="AH12">
        <v>5</v>
      </c>
      <c r="AI12">
        <v>6</v>
      </c>
      <c r="AJ12">
        <v>7</v>
      </c>
      <c r="AK12">
        <v>8</v>
      </c>
      <c r="AL12">
        <v>1</v>
      </c>
      <c r="AM12">
        <v>0</v>
      </c>
      <c r="AN12">
        <v>1</v>
      </c>
    </row>
    <row r="13" spans="1:40" x14ac:dyDescent="0.25">
      <c r="A13">
        <v>11</v>
      </c>
      <c r="B13">
        <v>54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>
        <v>11</v>
      </c>
      <c r="I13" t="s">
        <v>40</v>
      </c>
      <c r="J13">
        <v>0</v>
      </c>
      <c r="K13" t="s">
        <v>59</v>
      </c>
      <c r="L13">
        <v>88</v>
      </c>
      <c r="M13">
        <v>20</v>
      </c>
      <c r="N13">
        <v>40000</v>
      </c>
      <c r="O13">
        <v>4</v>
      </c>
      <c r="Q13">
        <v>11</v>
      </c>
      <c r="R13">
        <v>11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AB13">
        <v>11</v>
      </c>
      <c r="AC13" t="s">
        <v>40</v>
      </c>
      <c r="AD13">
        <v>1</v>
      </c>
      <c r="AE13">
        <v>2</v>
      </c>
      <c r="AF13">
        <v>3</v>
      </c>
      <c r="AG13">
        <v>4</v>
      </c>
      <c r="AH13">
        <v>5</v>
      </c>
      <c r="AI13">
        <v>6</v>
      </c>
      <c r="AJ13">
        <v>7</v>
      </c>
      <c r="AK13">
        <v>8</v>
      </c>
      <c r="AL13">
        <v>1</v>
      </c>
      <c r="AM13">
        <v>0</v>
      </c>
      <c r="AN13">
        <v>1</v>
      </c>
    </row>
    <row r="14" spans="1:40" x14ac:dyDescent="0.25">
      <c r="A14">
        <v>12</v>
      </c>
      <c r="B14">
        <v>20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>
        <v>12</v>
      </c>
      <c r="I14" t="s">
        <v>40</v>
      </c>
      <c r="J14">
        <v>1</v>
      </c>
      <c r="K14" t="s">
        <v>60</v>
      </c>
      <c r="L14">
        <v>115</v>
      </c>
      <c r="M14">
        <v>20</v>
      </c>
      <c r="N14">
        <v>500000</v>
      </c>
      <c r="O14">
        <v>1</v>
      </c>
      <c r="Q14">
        <v>12</v>
      </c>
      <c r="R14">
        <v>12</v>
      </c>
      <c r="S14">
        <v>1</v>
      </c>
      <c r="T14">
        <v>0</v>
      </c>
      <c r="U14">
        <v>1</v>
      </c>
      <c r="V14">
        <v>0</v>
      </c>
      <c r="W14">
        <v>0</v>
      </c>
      <c r="X14">
        <v>1</v>
      </c>
      <c r="Y14">
        <v>0</v>
      </c>
      <c r="AB14">
        <v>12</v>
      </c>
      <c r="AC14" t="s">
        <v>40</v>
      </c>
      <c r="AD14">
        <v>4</v>
      </c>
      <c r="AE14">
        <v>2</v>
      </c>
      <c r="AF14">
        <v>5</v>
      </c>
      <c r="AG14">
        <v>4</v>
      </c>
      <c r="AH14">
        <v>5</v>
      </c>
      <c r="AI14">
        <v>8</v>
      </c>
      <c r="AJ14">
        <v>7</v>
      </c>
      <c r="AK14">
        <v>8</v>
      </c>
      <c r="AL14">
        <v>1</v>
      </c>
      <c r="AM14">
        <v>0</v>
      </c>
      <c r="AN14">
        <v>1</v>
      </c>
    </row>
    <row r="15" spans="1:40" x14ac:dyDescent="0.25">
      <c r="A15">
        <v>13</v>
      </c>
      <c r="B15">
        <v>40</v>
      </c>
      <c r="C15" t="s">
        <v>42</v>
      </c>
      <c r="D15" t="s">
        <v>48</v>
      </c>
      <c r="E15" t="s">
        <v>63</v>
      </c>
      <c r="F15" t="s">
        <v>50</v>
      </c>
      <c r="G15" t="s">
        <v>51</v>
      </c>
      <c r="H15">
        <v>13</v>
      </c>
      <c r="I15" t="s">
        <v>40</v>
      </c>
      <c r="J15">
        <v>1</v>
      </c>
      <c r="K15" t="s">
        <v>41</v>
      </c>
      <c r="L15">
        <v>55</v>
      </c>
      <c r="M15">
        <v>20</v>
      </c>
      <c r="N15">
        <v>50000</v>
      </c>
      <c r="O15">
        <v>1</v>
      </c>
      <c r="Q15">
        <v>13</v>
      </c>
      <c r="R15">
        <v>13</v>
      </c>
      <c r="S15">
        <v>0</v>
      </c>
      <c r="T15">
        <v>1</v>
      </c>
      <c r="U15">
        <v>0</v>
      </c>
      <c r="V15">
        <v>1</v>
      </c>
      <c r="W15">
        <v>1</v>
      </c>
      <c r="X15">
        <v>0</v>
      </c>
      <c r="Y15">
        <v>1</v>
      </c>
      <c r="AB15">
        <v>13</v>
      </c>
      <c r="AC15" t="s">
        <v>40</v>
      </c>
      <c r="AD15">
        <v>3</v>
      </c>
      <c r="AE15">
        <v>3</v>
      </c>
      <c r="AF15">
        <v>3</v>
      </c>
      <c r="AG15">
        <v>5</v>
      </c>
      <c r="AH15">
        <v>5</v>
      </c>
      <c r="AI15">
        <v>6</v>
      </c>
      <c r="AJ15">
        <v>6</v>
      </c>
      <c r="AK15">
        <v>8</v>
      </c>
      <c r="AL15">
        <v>1</v>
      </c>
      <c r="AM15">
        <v>0</v>
      </c>
      <c r="AN15">
        <v>0</v>
      </c>
    </row>
    <row r="16" spans="1:40" x14ac:dyDescent="0.25">
      <c r="A16">
        <v>14</v>
      </c>
      <c r="B16">
        <v>34</v>
      </c>
      <c r="C16" t="s">
        <v>35</v>
      </c>
      <c r="D16" t="s">
        <v>36</v>
      </c>
      <c r="E16" t="s">
        <v>49</v>
      </c>
      <c r="F16" t="s">
        <v>50</v>
      </c>
      <c r="G16" t="s">
        <v>46</v>
      </c>
      <c r="H16">
        <v>14</v>
      </c>
      <c r="I16" t="s">
        <v>40</v>
      </c>
      <c r="J16">
        <v>1</v>
      </c>
      <c r="K16" t="s">
        <v>47</v>
      </c>
      <c r="L16">
        <v>180</v>
      </c>
      <c r="M16">
        <v>6</v>
      </c>
      <c r="N16">
        <v>5000</v>
      </c>
      <c r="O16">
        <v>7</v>
      </c>
      <c r="Q16">
        <v>14</v>
      </c>
      <c r="R16">
        <v>14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AB16">
        <v>14</v>
      </c>
      <c r="AC16" t="s">
        <v>40</v>
      </c>
      <c r="AD16">
        <v>7</v>
      </c>
      <c r="AE16">
        <v>5</v>
      </c>
      <c r="AF16">
        <v>3</v>
      </c>
      <c r="AG16">
        <v>4</v>
      </c>
      <c r="AH16">
        <v>6</v>
      </c>
      <c r="AI16">
        <v>6</v>
      </c>
      <c r="AJ16">
        <v>7</v>
      </c>
      <c r="AK16">
        <v>8</v>
      </c>
      <c r="AL16">
        <v>0</v>
      </c>
      <c r="AM16">
        <v>1</v>
      </c>
      <c r="AN16">
        <v>1</v>
      </c>
    </row>
    <row r="17" spans="1:40" x14ac:dyDescent="0.25">
      <c r="A17">
        <v>15</v>
      </c>
      <c r="B17">
        <v>295</v>
      </c>
      <c r="C17" t="s">
        <v>35</v>
      </c>
      <c r="D17" t="s">
        <v>55</v>
      </c>
      <c r="E17" t="s">
        <v>49</v>
      </c>
      <c r="F17" t="s">
        <v>45</v>
      </c>
      <c r="G17" t="s">
        <v>46</v>
      </c>
      <c r="H17">
        <v>15</v>
      </c>
      <c r="I17" t="s">
        <v>40</v>
      </c>
      <c r="J17">
        <v>0</v>
      </c>
      <c r="K17" t="s">
        <v>52</v>
      </c>
      <c r="L17">
        <v>111</v>
      </c>
      <c r="M17">
        <v>10</v>
      </c>
      <c r="N17">
        <v>10000</v>
      </c>
      <c r="O17">
        <v>8</v>
      </c>
      <c r="Q17">
        <v>15</v>
      </c>
      <c r="R17">
        <v>15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1</v>
      </c>
      <c r="AB17">
        <v>15</v>
      </c>
      <c r="AC17" t="s">
        <v>40</v>
      </c>
      <c r="AD17">
        <v>6</v>
      </c>
      <c r="AE17">
        <v>2</v>
      </c>
      <c r="AF17">
        <v>5</v>
      </c>
      <c r="AG17">
        <v>6</v>
      </c>
      <c r="AH17">
        <v>5</v>
      </c>
      <c r="AI17">
        <v>4</v>
      </c>
      <c r="AJ17">
        <v>7</v>
      </c>
      <c r="AK17">
        <v>8</v>
      </c>
      <c r="AL17">
        <v>0</v>
      </c>
      <c r="AM17">
        <v>0</v>
      </c>
      <c r="AN17">
        <v>1</v>
      </c>
    </row>
    <row r="18" spans="1:40" x14ac:dyDescent="0.25">
      <c r="A18">
        <v>16</v>
      </c>
      <c r="B18">
        <v>40</v>
      </c>
      <c r="C18" t="s">
        <v>42</v>
      </c>
      <c r="D18" t="s">
        <v>65</v>
      </c>
      <c r="E18" t="s">
        <v>44</v>
      </c>
      <c r="F18" t="s">
        <v>66</v>
      </c>
      <c r="G18" t="s">
        <v>46</v>
      </c>
      <c r="H18">
        <v>16</v>
      </c>
      <c r="I18" t="s">
        <v>40</v>
      </c>
      <c r="J18">
        <v>1</v>
      </c>
      <c r="K18" t="s">
        <v>41</v>
      </c>
      <c r="L18">
        <v>55</v>
      </c>
      <c r="M18">
        <v>10</v>
      </c>
      <c r="N18">
        <v>500000</v>
      </c>
      <c r="O18">
        <v>9</v>
      </c>
      <c r="Q18">
        <v>16</v>
      </c>
      <c r="R18">
        <v>16</v>
      </c>
      <c r="S18">
        <v>1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AB18">
        <v>16</v>
      </c>
      <c r="AC18" t="s">
        <v>40</v>
      </c>
      <c r="AD18">
        <v>1</v>
      </c>
      <c r="AE18">
        <v>2</v>
      </c>
      <c r="AF18">
        <v>1</v>
      </c>
      <c r="AG18">
        <v>4</v>
      </c>
      <c r="AH18">
        <v>5</v>
      </c>
      <c r="AI18">
        <v>7</v>
      </c>
      <c r="AJ18">
        <v>7</v>
      </c>
      <c r="AK18">
        <v>8</v>
      </c>
      <c r="AL18">
        <v>0</v>
      </c>
      <c r="AM18">
        <v>0</v>
      </c>
      <c r="AN18">
        <v>1</v>
      </c>
    </row>
    <row r="19" spans="1:40" x14ac:dyDescent="0.25">
      <c r="A19">
        <v>17</v>
      </c>
      <c r="B19">
        <v>62</v>
      </c>
      <c r="C19" t="s">
        <v>35</v>
      </c>
      <c r="D19" t="s">
        <v>55</v>
      </c>
      <c r="E19" t="s">
        <v>56</v>
      </c>
      <c r="F19" t="s">
        <v>57</v>
      </c>
      <c r="G19" t="s">
        <v>58</v>
      </c>
      <c r="H19">
        <v>17</v>
      </c>
      <c r="I19" t="s">
        <v>40</v>
      </c>
      <c r="J19">
        <v>0</v>
      </c>
      <c r="K19" t="s">
        <v>53</v>
      </c>
      <c r="L19">
        <v>516</v>
      </c>
      <c r="M19">
        <v>13</v>
      </c>
      <c r="N19">
        <v>60000</v>
      </c>
      <c r="O19">
        <v>4</v>
      </c>
      <c r="Q19">
        <v>17</v>
      </c>
      <c r="R19">
        <v>17</v>
      </c>
      <c r="S19">
        <v>1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AB19">
        <v>17</v>
      </c>
      <c r="AC19" t="s">
        <v>40</v>
      </c>
      <c r="AD19">
        <v>1</v>
      </c>
      <c r="AE19">
        <v>5</v>
      </c>
      <c r="AF19">
        <v>3</v>
      </c>
      <c r="AG19">
        <v>4</v>
      </c>
      <c r="AH19">
        <v>4</v>
      </c>
      <c r="AI19">
        <v>6</v>
      </c>
      <c r="AJ19">
        <v>8</v>
      </c>
      <c r="AK19">
        <v>8</v>
      </c>
      <c r="AL19">
        <v>0</v>
      </c>
      <c r="AM19">
        <v>0</v>
      </c>
      <c r="AN19">
        <v>0</v>
      </c>
    </row>
    <row r="20" spans="1:40" x14ac:dyDescent="0.25">
      <c r="A20">
        <v>18</v>
      </c>
      <c r="B20">
        <v>22</v>
      </c>
      <c r="C20" t="s">
        <v>35</v>
      </c>
      <c r="D20" t="s">
        <v>61</v>
      </c>
      <c r="E20" t="s">
        <v>44</v>
      </c>
      <c r="F20" t="s">
        <v>67</v>
      </c>
      <c r="G20" t="s">
        <v>39</v>
      </c>
      <c r="H20">
        <v>18</v>
      </c>
      <c r="I20" t="s">
        <v>40</v>
      </c>
      <c r="J20">
        <v>1</v>
      </c>
      <c r="K20" t="s">
        <v>54</v>
      </c>
      <c r="L20">
        <v>155</v>
      </c>
      <c r="M20">
        <v>10</v>
      </c>
      <c r="N20">
        <v>90000</v>
      </c>
      <c r="O20">
        <v>7</v>
      </c>
      <c r="Q20">
        <v>18</v>
      </c>
      <c r="R20">
        <v>18</v>
      </c>
      <c r="S20">
        <v>0</v>
      </c>
      <c r="T20">
        <v>1</v>
      </c>
      <c r="U20">
        <v>0</v>
      </c>
      <c r="V20">
        <v>0</v>
      </c>
      <c r="W20">
        <v>1</v>
      </c>
      <c r="X20">
        <v>0</v>
      </c>
      <c r="Y20">
        <v>0</v>
      </c>
      <c r="AB20">
        <v>18</v>
      </c>
      <c r="AC20" t="s">
        <v>40</v>
      </c>
      <c r="AD20">
        <v>1</v>
      </c>
      <c r="AE20">
        <v>2</v>
      </c>
      <c r="AF20">
        <v>8</v>
      </c>
      <c r="AG20">
        <v>4</v>
      </c>
      <c r="AH20">
        <v>5</v>
      </c>
      <c r="AI20">
        <v>3</v>
      </c>
      <c r="AJ20">
        <v>7</v>
      </c>
      <c r="AK20">
        <v>6</v>
      </c>
      <c r="AL20">
        <v>0</v>
      </c>
      <c r="AM20">
        <v>0</v>
      </c>
      <c r="AN20">
        <v>1</v>
      </c>
    </row>
    <row r="21" spans="1:40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Q21"/>
      <c r="R21"/>
      <c r="S21"/>
      <c r="T21"/>
      <c r="U21"/>
      <c r="V21"/>
      <c r="W21"/>
      <c r="X21"/>
      <c r="Y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1:40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Q22"/>
      <c r="R22"/>
      <c r="S22"/>
      <c r="T22"/>
      <c r="U22"/>
      <c r="V22"/>
      <c r="W22"/>
      <c r="X22"/>
      <c r="Y22"/>
      <c r="AB22"/>
      <c r="AC22"/>
      <c r="AD22"/>
      <c r="AE22"/>
      <c r="AF22"/>
      <c r="AG22"/>
      <c r="AH22"/>
      <c r="AI22"/>
      <c r="AJ22"/>
      <c r="AK22"/>
      <c r="AL22"/>
      <c r="AM22"/>
      <c r="AN22"/>
    </row>
    <row r="23" spans="1:40" x14ac:dyDescent="0.25">
      <c r="A23"/>
      <c r="B23"/>
      <c r="C23"/>
      <c r="D23"/>
      <c r="E23"/>
      <c r="F23"/>
      <c r="G23"/>
      <c r="AB23"/>
      <c r="AC23"/>
      <c r="AD23"/>
      <c r="AE23"/>
      <c r="AF23"/>
      <c r="AG23"/>
      <c r="AH23"/>
      <c r="AI23"/>
      <c r="AJ23"/>
      <c r="AK23"/>
      <c r="AL23"/>
      <c r="AM23"/>
      <c r="AN23"/>
    </row>
    <row r="24" spans="1:40" x14ac:dyDescent="0.25">
      <c r="A24"/>
      <c r="B24"/>
      <c r="C24"/>
      <c r="D24"/>
      <c r="E24"/>
      <c r="F24"/>
      <c r="G24"/>
    </row>
    <row r="25" spans="1:40" x14ac:dyDescent="0.25">
      <c r="A25"/>
      <c r="B25"/>
      <c r="C25"/>
      <c r="D25"/>
      <c r="E25"/>
      <c r="F25"/>
      <c r="G25"/>
    </row>
    <row r="26" spans="1:40" x14ac:dyDescent="0.25">
      <c r="A26"/>
      <c r="B26"/>
      <c r="C26"/>
      <c r="D26"/>
      <c r="E26"/>
      <c r="F26"/>
      <c r="G26"/>
    </row>
    <row r="27" spans="1:40" x14ac:dyDescent="0.25">
      <c r="A27"/>
      <c r="B27"/>
      <c r="C27"/>
      <c r="D27"/>
      <c r="E27"/>
      <c r="F27"/>
      <c r="G27"/>
    </row>
    <row r="28" spans="1:40" x14ac:dyDescent="0.25">
      <c r="A28"/>
      <c r="B28"/>
      <c r="C28"/>
      <c r="D28"/>
      <c r="E28"/>
      <c r="F28"/>
      <c r="G28"/>
    </row>
    <row r="29" spans="1:40" x14ac:dyDescent="0.25">
      <c r="A29"/>
      <c r="B29"/>
      <c r="C29"/>
      <c r="D29"/>
      <c r="E29"/>
      <c r="F29"/>
      <c r="G29"/>
    </row>
    <row r="30" spans="1:40" x14ac:dyDescent="0.25">
      <c r="A30"/>
      <c r="B30"/>
      <c r="C30"/>
      <c r="D30"/>
      <c r="E30"/>
      <c r="F30"/>
      <c r="G30"/>
    </row>
    <row r="31" spans="1:40" x14ac:dyDescent="0.25">
      <c r="A31"/>
      <c r="B31"/>
      <c r="C31"/>
      <c r="D31"/>
      <c r="E31"/>
      <c r="F31"/>
      <c r="G31"/>
    </row>
    <row r="32" spans="1:40" x14ac:dyDescent="0.25">
      <c r="A32"/>
      <c r="B32"/>
      <c r="C32"/>
      <c r="D32"/>
      <c r="E32"/>
      <c r="F32"/>
      <c r="G32"/>
    </row>
    <row r="33" spans="1:7" x14ac:dyDescent="0.25">
      <c r="A33"/>
      <c r="B33"/>
      <c r="C33"/>
      <c r="D33"/>
      <c r="E33"/>
      <c r="F33"/>
      <c r="G33"/>
    </row>
    <row r="34" spans="1:7" x14ac:dyDescent="0.25">
      <c r="A34"/>
      <c r="B34"/>
      <c r="C34"/>
      <c r="D34"/>
      <c r="E34"/>
      <c r="F34"/>
      <c r="G34"/>
    </row>
    <row r="35" spans="1:7" x14ac:dyDescent="0.25">
      <c r="A35"/>
      <c r="B35"/>
      <c r="C35"/>
      <c r="D35"/>
      <c r="E35"/>
      <c r="F35"/>
      <c r="G35"/>
    </row>
    <row r="36" spans="1:7" x14ac:dyDescent="0.25">
      <c r="A36"/>
      <c r="B36"/>
      <c r="C36"/>
      <c r="D36"/>
      <c r="E36"/>
      <c r="F36"/>
      <c r="G36"/>
    </row>
    <row r="37" spans="1:7" x14ac:dyDescent="0.25">
      <c r="A37"/>
      <c r="B37"/>
      <c r="C37"/>
      <c r="D37"/>
      <c r="E37"/>
      <c r="F37"/>
      <c r="G37"/>
    </row>
    <row r="38" spans="1:7" x14ac:dyDescent="0.25">
      <c r="A38"/>
      <c r="B38"/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2"/>
  <sheetViews>
    <sheetView topLeftCell="Q2" workbookViewId="0">
      <selection activeCell="F17" sqref="F17"/>
    </sheetView>
  </sheetViews>
  <sheetFormatPr defaultRowHeight="15" x14ac:dyDescent="0.25"/>
  <cols>
    <col min="1" max="1" width="14.7109375" style="1" bestFit="1" customWidth="1"/>
    <col min="2" max="2" width="6.5703125" style="1" bestFit="1" customWidth="1"/>
    <col min="3" max="3" width="7.28515625" style="1" bestFit="1" customWidth="1"/>
    <col min="4" max="4" width="12.85546875" style="1" bestFit="1" customWidth="1"/>
    <col min="5" max="5" width="13.140625" style="1" bestFit="1" customWidth="1"/>
    <col min="6" max="6" width="15.85546875" style="1" bestFit="1" customWidth="1"/>
    <col min="7" max="7" width="19" style="1" bestFit="1" customWidth="1"/>
    <col min="8" max="8" width="23.42578125" style="1" bestFit="1" customWidth="1"/>
    <col min="9" max="9" width="25.140625" style="1" bestFit="1" customWidth="1"/>
    <col min="10" max="10" width="26.5703125" style="1" bestFit="1" customWidth="1"/>
    <col min="11" max="11" width="30" style="1" bestFit="1" customWidth="1"/>
    <col min="12" max="12" width="26.5703125" style="1" bestFit="1" customWidth="1"/>
    <col min="13" max="13" width="17.5703125" style="1" bestFit="1" customWidth="1"/>
    <col min="14" max="14" width="9.7109375" style="1" bestFit="1" customWidth="1"/>
    <col min="15" max="15" width="17.85546875" style="1" bestFit="1" customWidth="1"/>
    <col min="16" max="16" width="22.7109375" style="1" bestFit="1" customWidth="1"/>
    <col min="17" max="17" width="21.140625" style="1" bestFit="1" customWidth="1"/>
    <col min="18" max="18" width="17" style="1" bestFit="1" customWidth="1"/>
    <col min="19" max="19" width="24.42578125" style="1" bestFit="1" customWidth="1"/>
    <col min="20" max="20" width="26.28515625" style="1" bestFit="1" customWidth="1"/>
    <col min="21" max="21" width="23" style="1" bestFit="1" customWidth="1"/>
    <col min="22" max="22" width="16.85546875" style="1" bestFit="1" customWidth="1"/>
    <col min="23" max="23" width="25.7109375" style="1" bestFit="1" customWidth="1"/>
    <col min="24" max="24" width="23.28515625" style="1" bestFit="1" customWidth="1"/>
    <col min="25" max="25" width="19.28515625" style="1" bestFit="1" customWidth="1"/>
    <col min="26" max="26" width="23.85546875" style="1" bestFit="1" customWidth="1"/>
    <col min="27" max="27" width="24.42578125" style="1" bestFit="1" customWidth="1"/>
    <col min="28" max="28" width="25.140625" style="1" bestFit="1" customWidth="1"/>
    <col min="29" max="29" width="22.85546875" style="1" bestFit="1" customWidth="1"/>
    <col min="30" max="30" width="19.28515625" style="1" bestFit="1" customWidth="1"/>
    <col min="31" max="31" width="25.7109375" style="1" bestFit="1" customWidth="1"/>
  </cols>
  <sheetData>
    <row r="1" spans="1:31" hidden="1" x14ac:dyDescent="0.25"/>
    <row r="2" spans="1:3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</row>
    <row r="3" spans="1:31" x14ac:dyDescent="0.25">
      <c r="A3">
        <v>1</v>
      </c>
      <c r="B3">
        <v>18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>
        <v>1</v>
      </c>
      <c r="I3" t="s">
        <v>41</v>
      </c>
      <c r="J3">
        <v>55</v>
      </c>
      <c r="K3">
        <v>20</v>
      </c>
      <c r="L3">
        <v>50000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2</v>
      </c>
      <c r="W3">
        <v>3</v>
      </c>
      <c r="X3">
        <v>4</v>
      </c>
      <c r="Y3">
        <v>5</v>
      </c>
      <c r="Z3">
        <v>6</v>
      </c>
      <c r="AA3">
        <v>7</v>
      </c>
      <c r="AB3">
        <v>8</v>
      </c>
      <c r="AC3">
        <v>1</v>
      </c>
      <c r="AD3">
        <v>0</v>
      </c>
      <c r="AE3">
        <v>1</v>
      </c>
    </row>
    <row r="4" spans="1:31" x14ac:dyDescent="0.25">
      <c r="A4">
        <v>2</v>
      </c>
      <c r="B4">
        <v>20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>
        <v>1</v>
      </c>
      <c r="I4" t="s">
        <v>47</v>
      </c>
      <c r="J4">
        <v>180</v>
      </c>
      <c r="K4">
        <v>6</v>
      </c>
      <c r="L4">
        <v>5000</v>
      </c>
      <c r="M4">
        <v>8</v>
      </c>
      <c r="N4">
        <v>0</v>
      </c>
      <c r="O4">
        <v>1</v>
      </c>
      <c r="P4">
        <v>0</v>
      </c>
      <c r="Q4">
        <v>1</v>
      </c>
      <c r="R4">
        <v>1</v>
      </c>
      <c r="S4">
        <v>0</v>
      </c>
      <c r="T4">
        <v>0</v>
      </c>
      <c r="U4">
        <v>2</v>
      </c>
      <c r="V4">
        <v>1</v>
      </c>
      <c r="W4">
        <v>2</v>
      </c>
      <c r="X4">
        <v>6</v>
      </c>
      <c r="Y4">
        <v>1</v>
      </c>
      <c r="Z4">
        <v>7</v>
      </c>
      <c r="AA4">
        <v>7</v>
      </c>
      <c r="AB4">
        <v>7</v>
      </c>
      <c r="AC4">
        <v>1</v>
      </c>
      <c r="AD4">
        <v>1</v>
      </c>
      <c r="AE4">
        <v>1</v>
      </c>
    </row>
    <row r="5" spans="1:31" x14ac:dyDescent="0.25">
      <c r="A5">
        <v>3</v>
      </c>
      <c r="B5">
        <v>40</v>
      </c>
      <c r="C5" t="s">
        <v>42</v>
      </c>
      <c r="D5" t="s">
        <v>48</v>
      </c>
      <c r="E5" t="s">
        <v>49</v>
      </c>
      <c r="F5" t="s">
        <v>50</v>
      </c>
      <c r="G5" t="s">
        <v>70</v>
      </c>
      <c r="H5">
        <v>0</v>
      </c>
      <c r="I5" t="s">
        <v>52</v>
      </c>
      <c r="J5">
        <v>111</v>
      </c>
      <c r="K5">
        <v>10</v>
      </c>
      <c r="L5">
        <v>10000</v>
      </c>
      <c r="M5">
        <v>7</v>
      </c>
      <c r="N5">
        <v>0</v>
      </c>
      <c r="O5">
        <v>1</v>
      </c>
      <c r="P5">
        <v>0</v>
      </c>
      <c r="Q5">
        <v>1</v>
      </c>
      <c r="R5">
        <v>0</v>
      </c>
      <c r="S5">
        <v>1</v>
      </c>
      <c r="T5">
        <v>1</v>
      </c>
      <c r="U5">
        <v>8</v>
      </c>
      <c r="V5">
        <v>2</v>
      </c>
      <c r="W5">
        <v>5</v>
      </c>
      <c r="X5">
        <v>2</v>
      </c>
      <c r="Y5">
        <v>8</v>
      </c>
      <c r="Z5">
        <v>4</v>
      </c>
      <c r="AA5">
        <v>7</v>
      </c>
      <c r="AB5">
        <v>6</v>
      </c>
      <c r="AC5">
        <v>1</v>
      </c>
      <c r="AD5">
        <v>0</v>
      </c>
      <c r="AE5">
        <v>0</v>
      </c>
    </row>
    <row r="6" spans="1:31" x14ac:dyDescent="0.25">
      <c r="A6">
        <v>4</v>
      </c>
      <c r="B6">
        <v>24</v>
      </c>
      <c r="C6" t="s">
        <v>42</v>
      </c>
      <c r="D6" t="s">
        <v>36</v>
      </c>
      <c r="E6" t="s">
        <v>49</v>
      </c>
      <c r="F6" t="s">
        <v>50</v>
      </c>
      <c r="G6" t="s">
        <v>46</v>
      </c>
      <c r="H6">
        <v>1</v>
      </c>
      <c r="I6" t="s">
        <v>41</v>
      </c>
      <c r="J6">
        <v>55</v>
      </c>
      <c r="K6">
        <v>10</v>
      </c>
      <c r="L6">
        <v>500000</v>
      </c>
      <c r="M6">
        <v>9</v>
      </c>
      <c r="N6">
        <v>0</v>
      </c>
      <c r="O6">
        <v>0</v>
      </c>
      <c r="P6">
        <v>1</v>
      </c>
      <c r="Q6">
        <v>0</v>
      </c>
      <c r="R6">
        <v>1</v>
      </c>
      <c r="S6">
        <v>1</v>
      </c>
      <c r="T6">
        <v>0</v>
      </c>
      <c r="U6">
        <v>2</v>
      </c>
      <c r="V6">
        <v>2</v>
      </c>
      <c r="W6">
        <v>6</v>
      </c>
      <c r="X6">
        <v>4</v>
      </c>
      <c r="Y6">
        <v>5</v>
      </c>
      <c r="Z6">
        <v>6</v>
      </c>
      <c r="AA6">
        <v>5</v>
      </c>
      <c r="AB6">
        <v>8</v>
      </c>
      <c r="AC6">
        <v>0</v>
      </c>
      <c r="AD6">
        <v>0</v>
      </c>
      <c r="AE6">
        <v>1</v>
      </c>
    </row>
    <row r="7" spans="1:31" x14ac:dyDescent="0.25">
      <c r="A7">
        <v>5</v>
      </c>
      <c r="B7">
        <v>35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>
        <v>0</v>
      </c>
      <c r="I7" t="s">
        <v>53</v>
      </c>
      <c r="J7">
        <v>515</v>
      </c>
      <c r="K7">
        <v>12</v>
      </c>
      <c r="L7">
        <v>60000</v>
      </c>
      <c r="M7">
        <v>4</v>
      </c>
      <c r="N7">
        <v>1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7</v>
      </c>
      <c r="V7">
        <v>2</v>
      </c>
      <c r="W7">
        <v>3</v>
      </c>
      <c r="X7">
        <v>4</v>
      </c>
      <c r="Y7">
        <v>5</v>
      </c>
      <c r="Z7">
        <v>8</v>
      </c>
      <c r="AA7">
        <v>2</v>
      </c>
      <c r="AB7">
        <v>4</v>
      </c>
      <c r="AC7">
        <v>0</v>
      </c>
      <c r="AD7">
        <v>1</v>
      </c>
      <c r="AE7">
        <v>1</v>
      </c>
    </row>
    <row r="8" spans="1:31" x14ac:dyDescent="0.25">
      <c r="A8">
        <v>6</v>
      </c>
      <c r="B8">
        <v>50</v>
      </c>
      <c r="C8" t="s">
        <v>42</v>
      </c>
      <c r="D8" t="s">
        <v>36</v>
      </c>
      <c r="E8" t="s">
        <v>44</v>
      </c>
      <c r="F8" t="s">
        <v>45</v>
      </c>
      <c r="G8" t="s">
        <v>46</v>
      </c>
      <c r="H8">
        <v>1</v>
      </c>
      <c r="I8" t="s">
        <v>54</v>
      </c>
      <c r="J8">
        <v>155</v>
      </c>
      <c r="K8">
        <v>20</v>
      </c>
      <c r="L8">
        <v>90000</v>
      </c>
      <c r="M8">
        <v>6</v>
      </c>
      <c r="N8">
        <v>0</v>
      </c>
      <c r="O8">
        <v>1</v>
      </c>
      <c r="P8">
        <v>0</v>
      </c>
      <c r="Q8">
        <v>1</v>
      </c>
      <c r="R8">
        <v>1</v>
      </c>
      <c r="S8">
        <v>0</v>
      </c>
      <c r="T8">
        <v>0</v>
      </c>
      <c r="U8">
        <v>1</v>
      </c>
      <c r="V8">
        <v>2</v>
      </c>
      <c r="W8">
        <v>2</v>
      </c>
      <c r="X8">
        <v>7</v>
      </c>
      <c r="Y8">
        <v>5</v>
      </c>
      <c r="Z8">
        <v>4</v>
      </c>
      <c r="AA8">
        <v>6</v>
      </c>
      <c r="AB8">
        <v>7</v>
      </c>
      <c r="AC8">
        <v>0</v>
      </c>
      <c r="AD8">
        <v>0</v>
      </c>
      <c r="AE8">
        <v>0</v>
      </c>
    </row>
    <row r="9" spans="1:31" x14ac:dyDescent="0.25">
      <c r="A9">
        <v>7</v>
      </c>
      <c r="B9">
        <v>60</v>
      </c>
      <c r="C9" t="s">
        <v>35</v>
      </c>
      <c r="D9" t="s">
        <v>55</v>
      </c>
      <c r="E9" t="s">
        <v>56</v>
      </c>
      <c r="F9" t="s">
        <v>38</v>
      </c>
      <c r="G9" t="s">
        <v>58</v>
      </c>
      <c r="H9">
        <v>0</v>
      </c>
      <c r="I9" t="s">
        <v>59</v>
      </c>
      <c r="J9">
        <v>552</v>
      </c>
      <c r="K9">
        <v>20</v>
      </c>
      <c r="L9">
        <v>10000</v>
      </c>
      <c r="M9">
        <v>10</v>
      </c>
      <c r="N9">
        <v>0</v>
      </c>
      <c r="O9">
        <v>1</v>
      </c>
      <c r="P9">
        <v>0</v>
      </c>
      <c r="Q9">
        <v>1</v>
      </c>
      <c r="R9">
        <v>1</v>
      </c>
      <c r="S9">
        <v>0</v>
      </c>
      <c r="T9">
        <v>1</v>
      </c>
      <c r="U9">
        <v>6</v>
      </c>
      <c r="V9">
        <v>2</v>
      </c>
      <c r="W9">
        <v>3</v>
      </c>
      <c r="X9">
        <v>7</v>
      </c>
      <c r="Y9">
        <v>5</v>
      </c>
      <c r="Z9">
        <v>6</v>
      </c>
      <c r="AA9">
        <v>7</v>
      </c>
      <c r="AB9">
        <v>4</v>
      </c>
      <c r="AC9">
        <v>1</v>
      </c>
      <c r="AD9">
        <v>1</v>
      </c>
      <c r="AE9">
        <v>1</v>
      </c>
    </row>
    <row r="10" spans="1:31" x14ac:dyDescent="0.25">
      <c r="A10">
        <v>8</v>
      </c>
      <c r="B10">
        <v>25</v>
      </c>
      <c r="C10" t="s">
        <v>35</v>
      </c>
      <c r="D10" t="s">
        <v>43</v>
      </c>
      <c r="E10" t="s">
        <v>44</v>
      </c>
      <c r="F10" t="s">
        <v>45</v>
      </c>
      <c r="G10" t="s">
        <v>46</v>
      </c>
      <c r="H10">
        <v>1</v>
      </c>
      <c r="I10" t="s">
        <v>60</v>
      </c>
      <c r="J10">
        <v>655</v>
      </c>
      <c r="K10">
        <v>3</v>
      </c>
      <c r="L10">
        <v>7000</v>
      </c>
      <c r="M10">
        <v>2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0</v>
      </c>
      <c r="U10">
        <v>1</v>
      </c>
      <c r="V10">
        <v>2</v>
      </c>
      <c r="W10">
        <v>7</v>
      </c>
      <c r="X10">
        <v>5</v>
      </c>
      <c r="Y10">
        <v>5</v>
      </c>
      <c r="Z10">
        <v>6</v>
      </c>
      <c r="AA10">
        <v>7</v>
      </c>
      <c r="AB10">
        <v>6</v>
      </c>
      <c r="AC10">
        <v>1</v>
      </c>
      <c r="AD10">
        <v>0</v>
      </c>
      <c r="AE10">
        <v>0</v>
      </c>
    </row>
    <row r="11" spans="1:31" x14ac:dyDescent="0.25">
      <c r="A11">
        <v>9</v>
      </c>
      <c r="B11">
        <v>19</v>
      </c>
      <c r="C11" t="s">
        <v>35</v>
      </c>
      <c r="D11" t="s">
        <v>61</v>
      </c>
      <c r="E11" t="s">
        <v>37</v>
      </c>
      <c r="F11" t="s">
        <v>38</v>
      </c>
      <c r="G11" t="s">
        <v>39</v>
      </c>
      <c r="H11">
        <v>1</v>
      </c>
      <c r="I11" t="s">
        <v>41</v>
      </c>
      <c r="J11">
        <v>65</v>
      </c>
      <c r="K11">
        <v>17</v>
      </c>
      <c r="L11">
        <v>8000</v>
      </c>
      <c r="M11">
        <v>7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8</v>
      </c>
      <c r="V11">
        <v>8</v>
      </c>
      <c r="W11">
        <v>3</v>
      </c>
      <c r="X11">
        <v>4</v>
      </c>
      <c r="Y11">
        <v>5</v>
      </c>
      <c r="Z11">
        <v>7</v>
      </c>
      <c r="AA11">
        <v>7</v>
      </c>
      <c r="AB11">
        <v>8</v>
      </c>
      <c r="AC11">
        <v>0</v>
      </c>
      <c r="AD11">
        <v>0</v>
      </c>
      <c r="AE11">
        <v>0</v>
      </c>
    </row>
    <row r="12" spans="1:31" x14ac:dyDescent="0.25">
      <c r="A12">
        <v>10</v>
      </c>
      <c r="B12">
        <v>34</v>
      </c>
      <c r="C12" t="s">
        <v>42</v>
      </c>
      <c r="D12" t="s">
        <v>71</v>
      </c>
      <c r="E12" t="s">
        <v>63</v>
      </c>
      <c r="F12" t="s">
        <v>50</v>
      </c>
      <c r="G12" t="s">
        <v>64</v>
      </c>
      <c r="H12">
        <v>0</v>
      </c>
      <c r="I12" t="s">
        <v>54</v>
      </c>
      <c r="J12">
        <v>545</v>
      </c>
      <c r="K12">
        <v>12</v>
      </c>
      <c r="L12">
        <v>90000</v>
      </c>
      <c r="M12">
        <v>1</v>
      </c>
      <c r="N12">
        <v>0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  <c r="U12">
        <v>1</v>
      </c>
      <c r="V12">
        <v>2</v>
      </c>
      <c r="W12">
        <v>3</v>
      </c>
      <c r="X12">
        <v>4</v>
      </c>
      <c r="Y12">
        <v>5</v>
      </c>
      <c r="Z12">
        <v>6</v>
      </c>
      <c r="AA12">
        <v>7</v>
      </c>
      <c r="AB12">
        <v>8</v>
      </c>
      <c r="AC12">
        <v>1</v>
      </c>
      <c r="AD12">
        <v>0</v>
      </c>
      <c r="AE12">
        <v>1</v>
      </c>
    </row>
    <row r="13" spans="1:31" x14ac:dyDescent="0.25">
      <c r="A13">
        <v>11</v>
      </c>
      <c r="B13">
        <v>54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>
        <v>0</v>
      </c>
      <c r="I13" t="s">
        <v>59</v>
      </c>
      <c r="J13">
        <v>88</v>
      </c>
      <c r="K13">
        <v>20</v>
      </c>
      <c r="L13">
        <v>40000</v>
      </c>
      <c r="M13">
        <v>4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2</v>
      </c>
      <c r="W13">
        <v>3</v>
      </c>
      <c r="X13">
        <v>4</v>
      </c>
      <c r="Y13">
        <v>5</v>
      </c>
      <c r="Z13">
        <v>6</v>
      </c>
      <c r="AA13">
        <v>7</v>
      </c>
      <c r="AB13">
        <v>8</v>
      </c>
      <c r="AC13">
        <v>1</v>
      </c>
      <c r="AD13">
        <v>0</v>
      </c>
      <c r="AE13">
        <v>1</v>
      </c>
    </row>
    <row r="14" spans="1:31" x14ac:dyDescent="0.25">
      <c r="A14">
        <v>12</v>
      </c>
      <c r="B14">
        <v>20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>
        <v>1</v>
      </c>
      <c r="I14" t="s">
        <v>60</v>
      </c>
      <c r="J14">
        <v>115</v>
      </c>
      <c r="K14">
        <v>20</v>
      </c>
      <c r="L14">
        <v>500000</v>
      </c>
      <c r="M14">
        <v>1</v>
      </c>
      <c r="N14">
        <v>1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>
        <v>4</v>
      </c>
      <c r="V14">
        <v>2</v>
      </c>
      <c r="W14">
        <v>5</v>
      </c>
      <c r="X14">
        <v>4</v>
      </c>
      <c r="Y14">
        <v>5</v>
      </c>
      <c r="Z14">
        <v>8</v>
      </c>
      <c r="AA14">
        <v>7</v>
      </c>
      <c r="AB14">
        <v>8</v>
      </c>
      <c r="AC14">
        <v>1</v>
      </c>
      <c r="AD14">
        <v>0</v>
      </c>
      <c r="AE14">
        <v>1</v>
      </c>
    </row>
    <row r="15" spans="1:31" x14ac:dyDescent="0.25">
      <c r="A15">
        <v>13</v>
      </c>
      <c r="B15">
        <v>40</v>
      </c>
      <c r="C15" t="s">
        <v>42</v>
      </c>
      <c r="D15" t="s">
        <v>48</v>
      </c>
      <c r="E15" t="s">
        <v>63</v>
      </c>
      <c r="F15" t="s">
        <v>50</v>
      </c>
      <c r="G15" t="s">
        <v>70</v>
      </c>
      <c r="H15">
        <v>1</v>
      </c>
      <c r="I15" t="s">
        <v>41</v>
      </c>
      <c r="J15">
        <v>55</v>
      </c>
      <c r="K15">
        <v>20</v>
      </c>
      <c r="L15">
        <v>50000</v>
      </c>
      <c r="M15">
        <v>1</v>
      </c>
      <c r="N15">
        <v>0</v>
      </c>
      <c r="O15">
        <v>1</v>
      </c>
      <c r="P15">
        <v>0</v>
      </c>
      <c r="Q15">
        <v>1</v>
      </c>
      <c r="R15">
        <v>1</v>
      </c>
      <c r="S15">
        <v>0</v>
      </c>
      <c r="T15">
        <v>1</v>
      </c>
      <c r="U15">
        <v>3</v>
      </c>
      <c r="V15">
        <v>3</v>
      </c>
      <c r="W15">
        <v>3</v>
      </c>
      <c r="X15">
        <v>5</v>
      </c>
      <c r="Y15">
        <v>5</v>
      </c>
      <c r="Z15">
        <v>6</v>
      </c>
      <c r="AA15">
        <v>6</v>
      </c>
      <c r="AB15">
        <v>8</v>
      </c>
      <c r="AC15">
        <v>1</v>
      </c>
      <c r="AD15">
        <v>0</v>
      </c>
      <c r="AE15">
        <v>0</v>
      </c>
    </row>
    <row r="16" spans="1:31" x14ac:dyDescent="0.25">
      <c r="A16">
        <v>14</v>
      </c>
      <c r="B16">
        <v>34</v>
      </c>
      <c r="C16" t="s">
        <v>35</v>
      </c>
      <c r="D16" t="s">
        <v>36</v>
      </c>
      <c r="E16" t="s">
        <v>49</v>
      </c>
      <c r="F16" t="s">
        <v>50</v>
      </c>
      <c r="G16" t="s">
        <v>46</v>
      </c>
      <c r="H16">
        <v>1</v>
      </c>
      <c r="I16" t="s">
        <v>47</v>
      </c>
      <c r="J16">
        <v>180</v>
      </c>
      <c r="K16">
        <v>6</v>
      </c>
      <c r="L16">
        <v>5000</v>
      </c>
      <c r="M16">
        <v>7</v>
      </c>
      <c r="N16">
        <v>0</v>
      </c>
      <c r="O16">
        <v>1</v>
      </c>
      <c r="P16">
        <v>0</v>
      </c>
      <c r="Q16">
        <v>1</v>
      </c>
      <c r="R16">
        <v>1</v>
      </c>
      <c r="S16">
        <v>0</v>
      </c>
      <c r="T16">
        <v>0</v>
      </c>
      <c r="U16">
        <v>7</v>
      </c>
      <c r="V16">
        <v>5</v>
      </c>
      <c r="W16">
        <v>3</v>
      </c>
      <c r="X16">
        <v>4</v>
      </c>
      <c r="Y16">
        <v>6</v>
      </c>
      <c r="Z16">
        <v>6</v>
      </c>
      <c r="AA16">
        <v>7</v>
      </c>
      <c r="AB16">
        <v>8</v>
      </c>
      <c r="AC16">
        <v>0</v>
      </c>
      <c r="AD16">
        <v>1</v>
      </c>
      <c r="AE16">
        <v>1</v>
      </c>
    </row>
    <row r="17" spans="1:31" x14ac:dyDescent="0.25">
      <c r="A17">
        <v>15</v>
      </c>
      <c r="B17">
        <v>25</v>
      </c>
      <c r="C17" t="s">
        <v>35</v>
      </c>
      <c r="D17" t="s">
        <v>55</v>
      </c>
      <c r="E17" t="s">
        <v>49</v>
      </c>
      <c r="F17" t="s">
        <v>45</v>
      </c>
      <c r="G17" t="s">
        <v>46</v>
      </c>
      <c r="H17">
        <v>0</v>
      </c>
      <c r="I17" t="s">
        <v>52</v>
      </c>
      <c r="J17">
        <v>111</v>
      </c>
      <c r="K17">
        <v>10</v>
      </c>
      <c r="L17">
        <v>10000</v>
      </c>
      <c r="M17">
        <v>8</v>
      </c>
      <c r="N17">
        <v>0</v>
      </c>
      <c r="O17">
        <v>1</v>
      </c>
      <c r="P17">
        <v>0</v>
      </c>
      <c r="Q17">
        <v>1</v>
      </c>
      <c r="R17">
        <v>0</v>
      </c>
      <c r="S17">
        <v>0</v>
      </c>
      <c r="T17">
        <v>1</v>
      </c>
      <c r="U17">
        <v>6</v>
      </c>
      <c r="V17">
        <v>2</v>
      </c>
      <c r="W17">
        <v>5</v>
      </c>
      <c r="X17">
        <v>6</v>
      </c>
      <c r="Y17">
        <v>5</v>
      </c>
      <c r="Z17">
        <v>4</v>
      </c>
      <c r="AA17">
        <v>7</v>
      </c>
      <c r="AB17">
        <v>8</v>
      </c>
      <c r="AC17">
        <v>0</v>
      </c>
      <c r="AD17">
        <v>0</v>
      </c>
      <c r="AE17">
        <v>1</v>
      </c>
    </row>
    <row r="18" spans="1:31" x14ac:dyDescent="0.25">
      <c r="A18">
        <v>16</v>
      </c>
      <c r="B18">
        <v>40</v>
      </c>
      <c r="C18" t="s">
        <v>42</v>
      </c>
      <c r="D18" t="s">
        <v>65</v>
      </c>
      <c r="E18" t="s">
        <v>44</v>
      </c>
      <c r="F18" t="s">
        <v>72</v>
      </c>
      <c r="G18" t="s">
        <v>46</v>
      </c>
      <c r="H18">
        <v>1</v>
      </c>
      <c r="I18" t="s">
        <v>41</v>
      </c>
      <c r="J18">
        <v>55</v>
      </c>
      <c r="K18">
        <v>10</v>
      </c>
      <c r="L18">
        <v>500000</v>
      </c>
      <c r="M18">
        <v>9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2</v>
      </c>
      <c r="W18">
        <v>1</v>
      </c>
      <c r="X18">
        <v>4</v>
      </c>
      <c r="Y18">
        <v>5</v>
      </c>
      <c r="Z18">
        <v>7</v>
      </c>
      <c r="AA18">
        <v>7</v>
      </c>
      <c r="AB18">
        <v>8</v>
      </c>
      <c r="AC18">
        <v>0</v>
      </c>
      <c r="AD18">
        <v>0</v>
      </c>
      <c r="AE18">
        <v>1</v>
      </c>
    </row>
    <row r="19" spans="1:31" x14ac:dyDescent="0.25">
      <c r="A19">
        <v>17</v>
      </c>
      <c r="B19">
        <v>62</v>
      </c>
      <c r="C19" t="s">
        <v>35</v>
      </c>
      <c r="D19" t="s">
        <v>55</v>
      </c>
      <c r="E19" t="s">
        <v>56</v>
      </c>
      <c r="F19" t="s">
        <v>38</v>
      </c>
      <c r="G19" t="s">
        <v>58</v>
      </c>
      <c r="H19">
        <v>0</v>
      </c>
      <c r="I19" t="s">
        <v>53</v>
      </c>
      <c r="J19">
        <v>516</v>
      </c>
      <c r="K19">
        <v>13</v>
      </c>
      <c r="L19">
        <v>60000</v>
      </c>
      <c r="M19">
        <v>4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1</v>
      </c>
      <c r="U19">
        <v>1</v>
      </c>
      <c r="V19">
        <v>5</v>
      </c>
      <c r="W19">
        <v>3</v>
      </c>
      <c r="X19">
        <v>4</v>
      </c>
      <c r="Y19">
        <v>4</v>
      </c>
      <c r="Z19">
        <v>6</v>
      </c>
      <c r="AA19">
        <v>8</v>
      </c>
      <c r="AB19">
        <v>8</v>
      </c>
      <c r="AC19">
        <v>0</v>
      </c>
      <c r="AD19">
        <v>0</v>
      </c>
      <c r="AE19">
        <v>0</v>
      </c>
    </row>
    <row r="20" spans="1:31" x14ac:dyDescent="0.25">
      <c r="A20">
        <v>18</v>
      </c>
      <c r="B20">
        <v>22</v>
      </c>
      <c r="C20" t="s">
        <v>35</v>
      </c>
      <c r="D20" t="s">
        <v>61</v>
      </c>
      <c r="E20" t="s">
        <v>44</v>
      </c>
      <c r="F20" t="s">
        <v>72</v>
      </c>
      <c r="G20" t="s">
        <v>39</v>
      </c>
      <c r="H20">
        <v>1</v>
      </c>
      <c r="I20" t="s">
        <v>54</v>
      </c>
      <c r="J20">
        <v>155</v>
      </c>
      <c r="K20">
        <v>10</v>
      </c>
      <c r="L20">
        <v>90000</v>
      </c>
      <c r="M20">
        <v>7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2</v>
      </c>
      <c r="W20">
        <v>8</v>
      </c>
      <c r="X20">
        <v>4</v>
      </c>
      <c r="Y20">
        <v>5</v>
      </c>
      <c r="Z20">
        <v>3</v>
      </c>
      <c r="AA20">
        <v>7</v>
      </c>
      <c r="AB20">
        <v>6</v>
      </c>
      <c r="AC20">
        <v>0</v>
      </c>
      <c r="AD20">
        <v>0</v>
      </c>
      <c r="AE20">
        <v>1</v>
      </c>
    </row>
    <row r="21" spans="1:31" x14ac:dyDescent="0.25">
      <c r="A21">
        <v>19</v>
      </c>
      <c r="B21">
        <v>28</v>
      </c>
      <c r="C21" t="s">
        <v>42</v>
      </c>
      <c r="D21" t="s">
        <v>61</v>
      </c>
      <c r="E21" t="s">
        <v>63</v>
      </c>
      <c r="F21" t="s">
        <v>50</v>
      </c>
      <c r="G21" t="s">
        <v>68</v>
      </c>
      <c r="H21">
        <v>1</v>
      </c>
      <c r="I21" t="s">
        <v>59</v>
      </c>
      <c r="J21">
        <v>552</v>
      </c>
      <c r="K21">
        <v>20</v>
      </c>
      <c r="L21">
        <v>10000</v>
      </c>
      <c r="M21">
        <v>9</v>
      </c>
      <c r="N21">
        <v>0</v>
      </c>
      <c r="O21">
        <v>1</v>
      </c>
      <c r="P21">
        <v>0</v>
      </c>
      <c r="Q21">
        <v>1</v>
      </c>
      <c r="R21">
        <v>1</v>
      </c>
      <c r="S21">
        <v>0</v>
      </c>
      <c r="T21">
        <v>1</v>
      </c>
      <c r="U21">
        <v>1</v>
      </c>
      <c r="V21">
        <v>1</v>
      </c>
      <c r="W21">
        <v>3</v>
      </c>
      <c r="X21">
        <v>5</v>
      </c>
      <c r="Y21">
        <v>5</v>
      </c>
      <c r="Z21">
        <v>8</v>
      </c>
      <c r="AA21">
        <v>7</v>
      </c>
      <c r="AB21">
        <v>8</v>
      </c>
      <c r="AC21">
        <v>1</v>
      </c>
      <c r="AD21">
        <v>0</v>
      </c>
      <c r="AE21">
        <v>0</v>
      </c>
    </row>
    <row r="22" spans="1:31" x14ac:dyDescent="0.25">
      <c r="A22">
        <v>20</v>
      </c>
      <c r="B22">
        <v>24</v>
      </c>
      <c r="C22" t="s">
        <v>42</v>
      </c>
      <c r="D22" t="s">
        <v>71</v>
      </c>
      <c r="E22" t="s">
        <v>44</v>
      </c>
      <c r="F22" t="s">
        <v>69</v>
      </c>
      <c r="G22" t="s">
        <v>64</v>
      </c>
      <c r="H22">
        <v>1</v>
      </c>
      <c r="I22" t="s">
        <v>60</v>
      </c>
      <c r="J22">
        <v>656</v>
      </c>
      <c r="K22">
        <v>4</v>
      </c>
      <c r="L22">
        <v>8000</v>
      </c>
      <c r="M22">
        <v>3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5</v>
      </c>
      <c r="V22">
        <v>2</v>
      </c>
      <c r="W22">
        <v>7</v>
      </c>
      <c r="X22">
        <v>4</v>
      </c>
      <c r="Y22">
        <v>5</v>
      </c>
      <c r="Z22">
        <v>7</v>
      </c>
      <c r="AA22">
        <v>7</v>
      </c>
      <c r="AB22">
        <v>8</v>
      </c>
      <c r="AC22">
        <v>1</v>
      </c>
      <c r="AD22">
        <v>1</v>
      </c>
      <c r="AE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D3" sqref="D3"/>
    </sheetView>
  </sheetViews>
  <sheetFormatPr defaultRowHeight="15" x14ac:dyDescent="0.25"/>
  <cols>
    <col min="1" max="1" width="11.140625" style="1" customWidth="1"/>
    <col min="2" max="2" width="22.140625" style="1" customWidth="1"/>
    <col min="3" max="3" width="12.85546875" style="1" customWidth="1"/>
    <col min="4" max="4" width="32.140625" style="1" customWidth="1"/>
    <col min="5" max="5" width="23" style="1" bestFit="1" customWidth="1"/>
    <col min="6" max="6" width="16.85546875" style="1" customWidth="1"/>
    <col min="7" max="7" width="25.7109375" style="1" bestFit="1" customWidth="1"/>
    <col min="8" max="8" width="23.28515625" style="1" bestFit="1" customWidth="1"/>
    <col min="9" max="9" width="19.28515625" style="1" bestFit="1" customWidth="1"/>
    <col min="10" max="10" width="23.5703125" style="1" customWidth="1"/>
    <col min="11" max="11" width="24.42578125" style="1" bestFit="1" customWidth="1"/>
  </cols>
  <sheetData>
    <row r="1" spans="1:11" x14ac:dyDescent="0.25">
      <c r="A1" t="s">
        <v>73</v>
      </c>
      <c r="B1" t="s">
        <v>74</v>
      </c>
      <c r="C1" t="s">
        <v>75</v>
      </c>
      <c r="D1" t="s">
        <v>76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1" x14ac:dyDescent="0.25">
      <c r="A2" t="str">
        <f>IF(Clean_data!B3&lt;=30,"YOUTH","ADULT")</f>
        <v>YOUTH</v>
      </c>
      <c r="B2" t="str">
        <f>IF(Clean_data!M3&lt;=4,"Not Satisfield",IF(Clean_data!M3&lt;=7,"Satisfield","very Satisfield"))</f>
        <v>Not Satisfield</v>
      </c>
      <c r="C2">
        <f>SUM(Clean_data!AC3:AE3)</f>
        <v>2</v>
      </c>
      <c r="D2">
        <f>SUM(Clean_data!N3:T3)</f>
        <v>7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</row>
    <row r="3" spans="1:11" x14ac:dyDescent="0.25">
      <c r="A3" t="str">
        <f>IF(Clean_data!B4&lt;=30,"YOUTH","ADULT")</f>
        <v>YOUTH</v>
      </c>
      <c r="B3" t="str">
        <f>IF(Clean_data!M4&lt;=4,"Not Satisfield",IF(Clean_data!M4&lt;=7,"Satisfield","very Satisfield"))</f>
        <v>very Satisfield</v>
      </c>
      <c r="C3">
        <f>SUM(Clean_data!AC4:AE4)</f>
        <v>3</v>
      </c>
      <c r="D3">
        <f>SUM(Clean_data!N4:T4)</f>
        <v>3</v>
      </c>
      <c r="E3">
        <v>2</v>
      </c>
      <c r="F3">
        <v>1</v>
      </c>
      <c r="G3">
        <v>2</v>
      </c>
      <c r="H3">
        <v>6</v>
      </c>
      <c r="I3">
        <v>1</v>
      </c>
      <c r="J3">
        <v>7</v>
      </c>
      <c r="K3">
        <v>7</v>
      </c>
    </row>
    <row r="4" spans="1:11" x14ac:dyDescent="0.25">
      <c r="A4" t="str">
        <f>IF(Clean_data!B5&lt;=30,"YOUTH","ADULT")</f>
        <v>ADULT</v>
      </c>
      <c r="B4" t="str">
        <f>IF(Clean_data!M5&lt;=4,"Not Satisfield",IF(Clean_data!M5&lt;=7,"Satisfield","very Satisfield"))</f>
        <v>Satisfield</v>
      </c>
      <c r="C4">
        <f>SUM(Clean_data!AC5:AE5)</f>
        <v>1</v>
      </c>
      <c r="D4">
        <f>SUM(Clean_data!N5:T5)</f>
        <v>4</v>
      </c>
      <c r="E4">
        <v>8</v>
      </c>
      <c r="F4">
        <v>2</v>
      </c>
      <c r="G4">
        <v>5</v>
      </c>
      <c r="H4">
        <v>2</v>
      </c>
      <c r="I4">
        <v>8</v>
      </c>
      <c r="J4">
        <v>4</v>
      </c>
      <c r="K4">
        <v>7</v>
      </c>
    </row>
    <row r="5" spans="1:11" x14ac:dyDescent="0.25">
      <c r="A5" t="str">
        <f>IF(Clean_data!B6&lt;=30,"YOUTH","ADULT")</f>
        <v>YOUTH</v>
      </c>
      <c r="B5" t="str">
        <f>IF(Clean_data!M6&lt;=4,"Not Satisfield",IF(Clean_data!M6&lt;=7,"Satisfield","very Satisfield"))</f>
        <v>very Satisfield</v>
      </c>
      <c r="C5">
        <f>SUM(Clean_data!AC6:AE6)</f>
        <v>1</v>
      </c>
      <c r="D5">
        <f>SUM(Clean_data!N6:T6)</f>
        <v>3</v>
      </c>
      <c r="E5">
        <v>2</v>
      </c>
      <c r="F5">
        <v>2</v>
      </c>
      <c r="G5">
        <v>6</v>
      </c>
      <c r="H5">
        <v>4</v>
      </c>
      <c r="I5">
        <v>5</v>
      </c>
      <c r="J5">
        <v>6</v>
      </c>
      <c r="K5">
        <v>5</v>
      </c>
    </row>
    <row r="6" spans="1:11" x14ac:dyDescent="0.25">
      <c r="A6" t="str">
        <f>IF(Clean_data!B7&lt;=30,"YOUTH","ADULT")</f>
        <v>ADULT</v>
      </c>
      <c r="B6" t="str">
        <f>IF(Clean_data!M7&lt;=4,"Not Satisfield",IF(Clean_data!M7&lt;=7,"Satisfield","very Satisfield"))</f>
        <v>Not Satisfield</v>
      </c>
      <c r="C6">
        <f>SUM(Clean_data!AC7:AE7)</f>
        <v>2</v>
      </c>
      <c r="D6">
        <f>SUM(Clean_data!N7:T7)</f>
        <v>6</v>
      </c>
      <c r="E6">
        <v>7</v>
      </c>
      <c r="F6">
        <v>2</v>
      </c>
      <c r="G6">
        <v>3</v>
      </c>
      <c r="H6">
        <v>4</v>
      </c>
      <c r="I6">
        <v>5</v>
      </c>
      <c r="J6">
        <v>8</v>
      </c>
      <c r="K6">
        <v>2</v>
      </c>
    </row>
    <row r="7" spans="1:11" x14ac:dyDescent="0.25">
      <c r="A7" t="str">
        <f>IF(Clean_data!B8&lt;=30,"YOUTH","ADULT")</f>
        <v>ADULT</v>
      </c>
      <c r="B7" t="str">
        <f>IF(Clean_data!M8&lt;=4,"Not Satisfield",IF(Clean_data!M8&lt;=7,"Satisfield","very Satisfield"))</f>
        <v>Satisfield</v>
      </c>
      <c r="C7">
        <f>SUM(Clean_data!AC8:AE8)</f>
        <v>0</v>
      </c>
      <c r="D7">
        <f>SUM(Clean_data!N8:T8)</f>
        <v>3</v>
      </c>
      <c r="E7">
        <v>1</v>
      </c>
      <c r="F7">
        <v>2</v>
      </c>
      <c r="G7">
        <v>2</v>
      </c>
      <c r="H7">
        <v>7</v>
      </c>
      <c r="I7">
        <v>5</v>
      </c>
      <c r="J7">
        <v>4</v>
      </c>
      <c r="K7">
        <v>6</v>
      </c>
    </row>
    <row r="8" spans="1:11" x14ac:dyDescent="0.25">
      <c r="A8" t="str">
        <f>IF(Clean_data!B9&lt;=30,"YOUTH","ADULT")</f>
        <v>ADULT</v>
      </c>
      <c r="B8" t="str">
        <f>IF(Clean_data!M9&lt;=4,"Not Satisfield",IF(Clean_data!M9&lt;=7,"Satisfield","very Satisfield"))</f>
        <v>very Satisfield</v>
      </c>
      <c r="C8">
        <f>SUM(Clean_data!AC9:AE9)</f>
        <v>3</v>
      </c>
      <c r="D8">
        <f>SUM(Clean_data!N9:T9)</f>
        <v>4</v>
      </c>
      <c r="E8">
        <v>6</v>
      </c>
      <c r="F8">
        <v>2</v>
      </c>
      <c r="G8">
        <v>3</v>
      </c>
      <c r="H8">
        <v>7</v>
      </c>
      <c r="I8">
        <v>5</v>
      </c>
      <c r="J8">
        <v>6</v>
      </c>
      <c r="K8">
        <v>7</v>
      </c>
    </row>
    <row r="9" spans="1:11" x14ac:dyDescent="0.25">
      <c r="A9" t="str">
        <f>IF(Clean_data!B10&lt;=30,"YOUTH","ADULT")</f>
        <v>YOUTH</v>
      </c>
      <c r="B9" t="str">
        <f>IF(Clean_data!M10&lt;=4,"Not Satisfield",IF(Clean_data!M10&lt;=7,"Satisfield","very Satisfield"))</f>
        <v>Not Satisfield</v>
      </c>
      <c r="C9">
        <f>SUM(Clean_data!AC10:AE10)</f>
        <v>1</v>
      </c>
      <c r="D9">
        <f>SUM(Clean_data!N10:T10)</f>
        <v>2</v>
      </c>
      <c r="E9">
        <v>1</v>
      </c>
      <c r="F9">
        <v>2</v>
      </c>
      <c r="G9">
        <v>7</v>
      </c>
      <c r="H9">
        <v>5</v>
      </c>
      <c r="I9">
        <v>5</v>
      </c>
      <c r="J9">
        <v>6</v>
      </c>
      <c r="K9">
        <v>7</v>
      </c>
    </row>
    <row r="10" spans="1:11" x14ac:dyDescent="0.25">
      <c r="A10" t="str">
        <f>IF(Clean_data!B11&lt;=30,"YOUTH","ADULT")</f>
        <v>YOUTH</v>
      </c>
      <c r="B10" t="str">
        <f>IF(Clean_data!M11&lt;=4,"Not Satisfield",IF(Clean_data!M11&lt;=7,"Satisfield","very Satisfield"))</f>
        <v>Satisfield</v>
      </c>
      <c r="C10">
        <f>SUM(Clean_data!AC11:AE11)</f>
        <v>0</v>
      </c>
      <c r="D10">
        <f>SUM(Clean_data!N11:T11)</f>
        <v>3</v>
      </c>
      <c r="E10">
        <v>8</v>
      </c>
      <c r="F10">
        <v>8</v>
      </c>
      <c r="G10">
        <v>3</v>
      </c>
      <c r="H10">
        <v>4</v>
      </c>
      <c r="I10">
        <v>5</v>
      </c>
      <c r="J10">
        <v>7</v>
      </c>
      <c r="K10">
        <v>7</v>
      </c>
    </row>
    <row r="11" spans="1:11" x14ac:dyDescent="0.25">
      <c r="A11" t="str">
        <f>IF(Clean_data!B12&lt;=30,"YOUTH","ADULT")</f>
        <v>ADULT</v>
      </c>
      <c r="B11" t="str">
        <f>IF(Clean_data!M12&lt;=4,"Not Satisfield",IF(Clean_data!M12&lt;=7,"Satisfield","very Satisfield"))</f>
        <v>Not Satisfield</v>
      </c>
      <c r="C11">
        <f>SUM(Clean_data!AC12:AE12)</f>
        <v>2</v>
      </c>
      <c r="D11">
        <f>SUM(Clean_data!N12:T12)</f>
        <v>2</v>
      </c>
      <c r="E11">
        <v>1</v>
      </c>
      <c r="F11">
        <v>2</v>
      </c>
      <c r="G11">
        <v>3</v>
      </c>
      <c r="H11">
        <v>4</v>
      </c>
      <c r="I11">
        <v>5</v>
      </c>
      <c r="J11">
        <v>6</v>
      </c>
      <c r="K11">
        <v>7</v>
      </c>
    </row>
    <row r="12" spans="1:11" x14ac:dyDescent="0.25">
      <c r="A12" t="str">
        <f>IF(Clean_data!B13&lt;=30,"YOUTH","ADULT")</f>
        <v>ADULT</v>
      </c>
      <c r="B12" t="str">
        <f>IF(Clean_data!M13&lt;=4,"Not Satisfield",IF(Clean_data!M13&lt;=7,"Satisfield","very Satisfield"))</f>
        <v>Not Satisfield</v>
      </c>
      <c r="C12">
        <f>SUM(Clean_data!AC13:AE13)</f>
        <v>2</v>
      </c>
      <c r="D12">
        <f>SUM(Clean_data!N13:T13)</f>
        <v>7</v>
      </c>
      <c r="E12">
        <v>1</v>
      </c>
      <c r="F12">
        <v>2</v>
      </c>
      <c r="G12">
        <v>3</v>
      </c>
      <c r="H12">
        <v>4</v>
      </c>
      <c r="I12">
        <v>5</v>
      </c>
      <c r="J12">
        <v>6</v>
      </c>
      <c r="K12">
        <v>7</v>
      </c>
    </row>
    <row r="13" spans="1:11" x14ac:dyDescent="0.25">
      <c r="A13" t="str">
        <f>IF(Clean_data!B14&lt;=30,"YOUTH","ADULT")</f>
        <v>YOUTH</v>
      </c>
      <c r="B13" t="str">
        <f>IF(Clean_data!M14&lt;=4,"Not Satisfield",IF(Clean_data!M14&lt;=7,"Satisfield","very Satisfield"))</f>
        <v>Not Satisfield</v>
      </c>
      <c r="C13">
        <f>SUM(Clean_data!AC14:AE14)</f>
        <v>2</v>
      </c>
      <c r="D13">
        <f>SUM(Clean_data!N14:T14)</f>
        <v>3</v>
      </c>
      <c r="E13">
        <v>4</v>
      </c>
      <c r="F13">
        <v>2</v>
      </c>
      <c r="G13">
        <v>5</v>
      </c>
      <c r="H13">
        <v>4</v>
      </c>
      <c r="I13">
        <v>5</v>
      </c>
      <c r="J13">
        <v>8</v>
      </c>
      <c r="K13">
        <v>7</v>
      </c>
    </row>
    <row r="14" spans="1:11" x14ac:dyDescent="0.25">
      <c r="A14" t="str">
        <f>IF(Clean_data!B15&lt;=30,"YOUTH","ADULT")</f>
        <v>ADULT</v>
      </c>
      <c r="B14" t="str">
        <f>IF(Clean_data!M15&lt;=4,"Not Satisfield",IF(Clean_data!M15&lt;=7,"Satisfield","very Satisfield"))</f>
        <v>Not Satisfield</v>
      </c>
      <c r="C14">
        <f>SUM(Clean_data!AC15:AE15)</f>
        <v>1</v>
      </c>
      <c r="D14">
        <f>SUM(Clean_data!N15:T15)</f>
        <v>4</v>
      </c>
      <c r="E14">
        <v>3</v>
      </c>
      <c r="F14">
        <v>3</v>
      </c>
      <c r="G14">
        <v>3</v>
      </c>
      <c r="H14">
        <v>5</v>
      </c>
      <c r="I14">
        <v>5</v>
      </c>
      <c r="J14">
        <v>6</v>
      </c>
      <c r="K14">
        <v>6</v>
      </c>
    </row>
    <row r="15" spans="1:11" x14ac:dyDescent="0.25">
      <c r="A15" t="str">
        <f>IF(Clean_data!B16&lt;=30,"YOUTH","ADULT")</f>
        <v>ADULT</v>
      </c>
      <c r="B15" t="str">
        <f>IF(Clean_data!M16&lt;=4,"Not Satisfield",IF(Clean_data!M16&lt;=7,"Satisfield","very Satisfield"))</f>
        <v>Satisfield</v>
      </c>
      <c r="C15">
        <f>SUM(Clean_data!AC16:AE16)</f>
        <v>2</v>
      </c>
      <c r="D15">
        <f>SUM(Clean_data!N16:T16)</f>
        <v>3</v>
      </c>
      <c r="E15">
        <v>7</v>
      </c>
      <c r="F15">
        <v>5</v>
      </c>
      <c r="G15">
        <v>3</v>
      </c>
      <c r="H15">
        <v>4</v>
      </c>
      <c r="I15">
        <v>6</v>
      </c>
      <c r="J15">
        <v>6</v>
      </c>
      <c r="K15">
        <v>7</v>
      </c>
    </row>
    <row r="16" spans="1:11" x14ac:dyDescent="0.25">
      <c r="A16" t="str">
        <f>IF(Clean_data!B17&lt;=30,"YOUTH","ADULT")</f>
        <v>YOUTH</v>
      </c>
      <c r="B16" t="str">
        <f>IF(Clean_data!M17&lt;=4,"Not Satisfield",IF(Clean_data!M17&lt;=7,"Satisfield","very Satisfield"))</f>
        <v>very Satisfield</v>
      </c>
      <c r="C16">
        <f>SUM(Clean_data!AC17:AE17)</f>
        <v>1</v>
      </c>
      <c r="D16">
        <f>SUM(Clean_data!N17:T17)</f>
        <v>3</v>
      </c>
      <c r="E16">
        <v>6</v>
      </c>
      <c r="F16">
        <v>2</v>
      </c>
      <c r="G16">
        <v>5</v>
      </c>
      <c r="H16">
        <v>6</v>
      </c>
      <c r="I16">
        <v>5</v>
      </c>
      <c r="J16">
        <v>4</v>
      </c>
      <c r="K16">
        <v>7</v>
      </c>
    </row>
    <row r="17" spans="1:11" x14ac:dyDescent="0.25">
      <c r="A17" t="str">
        <f>IF(Clean_data!B18&lt;=30,"YOUTH","ADULT")</f>
        <v>ADULT</v>
      </c>
      <c r="B17" t="str">
        <f>IF(Clean_data!M18&lt;=4,"Not Satisfield",IF(Clean_data!M18&lt;=7,"Satisfield","very Satisfield"))</f>
        <v>very Satisfield</v>
      </c>
      <c r="C17">
        <f>SUM(Clean_data!AC18:AE18)</f>
        <v>1</v>
      </c>
      <c r="D17">
        <f>SUM(Clean_data!N18:T18)</f>
        <v>3</v>
      </c>
      <c r="E17">
        <v>1</v>
      </c>
      <c r="F17">
        <v>2</v>
      </c>
      <c r="G17">
        <v>1</v>
      </c>
      <c r="H17">
        <v>4</v>
      </c>
      <c r="I17">
        <v>5</v>
      </c>
      <c r="J17">
        <v>7</v>
      </c>
      <c r="K17">
        <v>7</v>
      </c>
    </row>
    <row r="18" spans="1:11" x14ac:dyDescent="0.25">
      <c r="A18" t="str">
        <f>IF(Clean_data!B19&lt;=30,"YOUTH","ADULT")</f>
        <v>ADULT</v>
      </c>
      <c r="B18" t="str">
        <f>IF(Clean_data!M19&lt;=4,"Not Satisfield",IF(Clean_data!M19&lt;=7,"Satisfield","very Satisfield"))</f>
        <v>Not Satisfield</v>
      </c>
      <c r="C18">
        <f>SUM(Clean_data!AC19:AE19)</f>
        <v>0</v>
      </c>
      <c r="D18">
        <f>SUM(Clean_data!N19:T19)</f>
        <v>3</v>
      </c>
      <c r="E18">
        <v>1</v>
      </c>
      <c r="F18">
        <v>5</v>
      </c>
      <c r="G18">
        <v>3</v>
      </c>
      <c r="H18">
        <v>4</v>
      </c>
      <c r="I18">
        <v>4</v>
      </c>
      <c r="J18">
        <v>6</v>
      </c>
      <c r="K18">
        <v>8</v>
      </c>
    </row>
    <row r="19" spans="1:11" x14ac:dyDescent="0.25">
      <c r="A19" t="str">
        <f>IF(Clean_data!B20&lt;=30,"YOUTH","ADULT")</f>
        <v>YOUTH</v>
      </c>
      <c r="B19" t="str">
        <f>IF(Clean_data!M20&lt;=4,"Not Satisfield",IF(Clean_data!M20&lt;=7,"Satisfield","very Satisfield"))</f>
        <v>Satisfield</v>
      </c>
      <c r="C19">
        <f>SUM(Clean_data!AC20:AE20)</f>
        <v>1</v>
      </c>
      <c r="D19">
        <f>SUM(Clean_data!N20:T20)</f>
        <v>2</v>
      </c>
      <c r="E19">
        <v>1</v>
      </c>
      <c r="F19">
        <v>2</v>
      </c>
      <c r="G19">
        <v>8</v>
      </c>
      <c r="H19">
        <v>4</v>
      </c>
      <c r="I19">
        <v>5</v>
      </c>
      <c r="J19">
        <v>3</v>
      </c>
      <c r="K19">
        <v>7</v>
      </c>
    </row>
    <row r="20" spans="1:11" x14ac:dyDescent="0.25">
      <c r="A20" t="str">
        <f>IF(Clean_data!B21&lt;=30,"YOUTH","ADULT")</f>
        <v>YOUTH</v>
      </c>
      <c r="B20" t="str">
        <f>IF(Clean_data!M21&lt;=4,"Not Satisfield",IF(Clean_data!M21&lt;=7,"Satisfield","very Satisfield"))</f>
        <v>very Satisfield</v>
      </c>
      <c r="C20">
        <f>SUM(Clean_data!AC21:AE21)</f>
        <v>1</v>
      </c>
      <c r="D20">
        <f>SUM(Clean_data!N21:T21)</f>
        <v>4</v>
      </c>
      <c r="E20">
        <v>1</v>
      </c>
      <c r="F20">
        <v>1</v>
      </c>
      <c r="G20">
        <v>3</v>
      </c>
      <c r="H20">
        <v>5</v>
      </c>
      <c r="I20">
        <v>5</v>
      </c>
      <c r="J20">
        <v>8</v>
      </c>
      <c r="K20">
        <v>7</v>
      </c>
    </row>
    <row r="21" spans="1:11" x14ac:dyDescent="0.25">
      <c r="A21" t="str">
        <f>IF(Clean_data!B22&lt;=30,"YOUTH","ADULT")</f>
        <v>YOUTH</v>
      </c>
      <c r="B21" t="str">
        <f>IF(Clean_data!M22&lt;=4,"Not Satisfield",IF(Clean_data!M22&lt;=7,"Satisfield","very Satisfield"))</f>
        <v>Not Satisfield</v>
      </c>
      <c r="C21">
        <f>SUM(Clean_data!AC22:AE22)</f>
        <v>3</v>
      </c>
      <c r="D21">
        <f>SUM(Clean_data!N22:T22)</f>
        <v>3</v>
      </c>
      <c r="E21">
        <v>5</v>
      </c>
      <c r="F21">
        <v>2</v>
      </c>
      <c r="G21">
        <v>7</v>
      </c>
      <c r="H21">
        <v>4</v>
      </c>
      <c r="I21">
        <v>5</v>
      </c>
      <c r="J21">
        <v>7</v>
      </c>
      <c r="K2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8"/>
  <sheetViews>
    <sheetView tabSelected="1" workbookViewId="0">
      <selection activeCell="C15" sqref="C15"/>
    </sheetView>
  </sheetViews>
  <sheetFormatPr defaultRowHeight="15" x14ac:dyDescent="0.25"/>
  <cols>
    <col min="1" max="1" width="13.140625" style="1" bestFit="1" customWidth="1"/>
    <col min="2" max="2" width="29.85546875" style="1" customWidth="1"/>
    <col min="3" max="3" width="30.140625" style="1" customWidth="1"/>
    <col min="4" max="4" width="23.7109375" style="1" customWidth="1"/>
    <col min="5" max="5" width="26.140625" style="1" customWidth="1"/>
    <col min="6" max="6" width="30.7109375" style="1" customWidth="1"/>
    <col min="7" max="7" width="31.28515625" style="1" customWidth="1"/>
    <col min="8" max="8" width="32.42578125" style="1" customWidth="1"/>
  </cols>
  <sheetData>
    <row r="3" spans="1:8" x14ac:dyDescent="0.25">
      <c r="A3" s="2" t="s">
        <v>77</v>
      </c>
      <c r="B3" t="s">
        <v>78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 t="s">
        <v>84</v>
      </c>
    </row>
    <row r="4" spans="1:8" x14ac:dyDescent="0.25">
      <c r="A4" s="3" t="s">
        <v>85</v>
      </c>
      <c r="B4">
        <v>36</v>
      </c>
      <c r="C4">
        <v>45</v>
      </c>
      <c r="D4">
        <v>27</v>
      </c>
      <c r="E4">
        <v>53</v>
      </c>
      <c r="F4">
        <v>59</v>
      </c>
      <c r="G4">
        <v>64</v>
      </c>
      <c r="H4">
        <v>29</v>
      </c>
    </row>
    <row r="5" spans="1:8" x14ac:dyDescent="0.25">
      <c r="A5" s="3" t="s">
        <v>86</v>
      </c>
      <c r="B5">
        <v>31</v>
      </c>
      <c r="C5">
        <v>46</v>
      </c>
      <c r="D5">
        <v>24</v>
      </c>
      <c r="E5">
        <v>46</v>
      </c>
      <c r="F5">
        <v>62</v>
      </c>
      <c r="G5">
        <v>68</v>
      </c>
      <c r="H5">
        <v>49</v>
      </c>
    </row>
    <row r="6" spans="1:8" x14ac:dyDescent="0.25">
      <c r="A6" s="3" t="s">
        <v>87</v>
      </c>
      <c r="B6">
        <v>67</v>
      </c>
      <c r="C6">
        <v>91</v>
      </c>
      <c r="D6">
        <v>51</v>
      </c>
      <c r="E6">
        <v>99</v>
      </c>
      <c r="F6">
        <v>121</v>
      </c>
      <c r="G6">
        <v>132</v>
      </c>
      <c r="H6">
        <v>78</v>
      </c>
    </row>
    <row r="10" spans="1:8" x14ac:dyDescent="0.25">
      <c r="A10" s="2" t="s">
        <v>77</v>
      </c>
      <c r="B10" t="s">
        <v>88</v>
      </c>
    </row>
    <row r="11" spans="1:8" x14ac:dyDescent="0.25">
      <c r="A11" s="3" t="s">
        <v>41</v>
      </c>
      <c r="B11">
        <v>5</v>
      </c>
    </row>
    <row r="12" spans="1:8" x14ac:dyDescent="0.25">
      <c r="A12" s="3" t="s">
        <v>59</v>
      </c>
      <c r="B12">
        <v>3</v>
      </c>
    </row>
    <row r="13" spans="1:8" x14ac:dyDescent="0.25">
      <c r="A13" s="3" t="s">
        <v>60</v>
      </c>
      <c r="B13">
        <v>3</v>
      </c>
    </row>
    <row r="14" spans="1:8" x14ac:dyDescent="0.25">
      <c r="A14" s="3" t="s">
        <v>52</v>
      </c>
      <c r="B14">
        <v>2</v>
      </c>
    </row>
    <row r="15" spans="1:8" x14ac:dyDescent="0.25">
      <c r="A15" s="3" t="s">
        <v>54</v>
      </c>
      <c r="B15">
        <v>3</v>
      </c>
    </row>
    <row r="16" spans="1:8" x14ac:dyDescent="0.25">
      <c r="A16" s="3" t="s">
        <v>47</v>
      </c>
      <c r="B16">
        <v>2</v>
      </c>
    </row>
    <row r="17" spans="1:2" x14ac:dyDescent="0.25">
      <c r="A17" s="3" t="s">
        <v>53</v>
      </c>
      <c r="B17">
        <v>2</v>
      </c>
    </row>
    <row r="18" spans="1:2" x14ac:dyDescent="0.25">
      <c r="A18" s="3" t="s">
        <v>87</v>
      </c>
      <c r="B1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Payment_Survey_Analysis</vt:lpstr>
      <vt:lpstr>Clean_data</vt:lpstr>
      <vt:lpstr>Calculation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TPA-ICT</dc:creator>
  <cp:lastModifiedBy>TPA-ICT</cp:lastModifiedBy>
  <dcterms:created xsi:type="dcterms:W3CDTF">2026-08-07T15:20:16Z</dcterms:created>
  <dcterms:modified xsi:type="dcterms:W3CDTF">2026-10-13T20:53:31Z</dcterms:modified>
</cp:coreProperties>
</file>